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alek\One Driver\ferme\Antigravity\farm-friendy-main\src\data\"/>
    </mc:Choice>
  </mc:AlternateContent>
  <xr:revisionPtr revIDLastSave="0" documentId="13_ncr:1_{21780F94-7EA1-4302-88DE-874ECEC0BAC5}" xr6:coauthVersionLast="47" xr6:coauthVersionMax="47" xr10:uidLastSave="{00000000-0000-0000-0000-000000000000}"/>
  <bookViews>
    <workbookView xWindow="0" yWindow="300" windowWidth="19420" windowHeight="10420" xr2:uid="{00000000-000D-0000-FFFF-FFFF00000000}"/>
  </bookViews>
  <sheets>
    <sheet name="Mars_Avril_Mai_1H30" sheetId="17" r:id="rId1"/>
    <sheet name="Fin_Mai_Juin_2H30" sheetId="18" r:id="rId2"/>
    <sheet name="Base_Donnees" sheetId="1" r:id="rId3"/>
    <sheet name="Résumé_Fournisseurs" sheetId="15" r:id="rId4"/>
    <sheet name="Résumé_Par_Espèce" sheetId="16" r:id="rId5"/>
    <sheet name="09_Mars_Nectarine" sheetId="2" r:id="rId6"/>
    <sheet name="09_Mars_Pommier" sheetId="3" r:id="rId7"/>
    <sheet name="17_Mars_Olivier" sheetId="4" r:id="rId8"/>
    <sheet name="01_Avril_Nectarine" sheetId="5" r:id="rId9"/>
    <sheet name="01_Avril_Pommier" sheetId="6" r:id="rId10"/>
    <sheet name="20_Avril_Nectarine" sheetId="7" r:id="rId11"/>
    <sheet name="06_Mai_Nectarine" sheetId="8" r:id="rId12"/>
    <sheet name="06_Mai_Pommier" sheetId="9" r:id="rId13"/>
    <sheet name="06_Mai_Olivier" sheetId="10" r:id="rId14"/>
    <sheet name="28_Mai_Nectarine_RED" sheetId="11" r:id="rId15"/>
    <sheet name="28_Mai_Nectarine_NAB" sheetId="12" r:id="rId16"/>
    <sheet name="28_Mai_Pommier" sheetId="13" r:id="rId17"/>
    <sheet name="28_Mai_Olivier" sheetId="14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2" i="1"/>
  <c r="F8" i="18"/>
  <c r="B10" i="18"/>
  <c r="F10" i="18"/>
  <c r="B12" i="18"/>
  <c r="F12" i="18" s="1"/>
  <c r="F14" i="18"/>
  <c r="B16" i="18"/>
  <c r="F16" i="18"/>
  <c r="B18" i="18" s="1"/>
  <c r="F18" i="18" s="1"/>
  <c r="F8" i="17"/>
  <c r="B10" i="17"/>
  <c r="F10" i="17" s="1"/>
  <c r="B12" i="17" s="1"/>
  <c r="F12" i="17" s="1"/>
  <c r="F14" i="17"/>
  <c r="B16" i="17" s="1"/>
  <c r="F16" i="17" s="1"/>
  <c r="B18" i="17" s="1"/>
  <c r="F18" i="17" s="1"/>
  <c r="C54" i="12"/>
  <c r="D54" i="12"/>
  <c r="E54" i="12"/>
  <c r="F54" i="12" s="1"/>
  <c r="G54" i="12"/>
  <c r="H54" i="12"/>
  <c r="D42" i="4"/>
  <c r="E42" i="4"/>
  <c r="H42" i="4"/>
  <c r="I42" i="4"/>
  <c r="I58" i="14"/>
  <c r="H58" i="14"/>
  <c r="G58" i="14"/>
  <c r="E58" i="14"/>
  <c r="D58" i="14"/>
  <c r="F58" i="14" s="1"/>
  <c r="C58" i="14"/>
  <c r="I57" i="14"/>
  <c r="H57" i="14"/>
  <c r="G57" i="14"/>
  <c r="E57" i="14"/>
  <c r="D57" i="14"/>
  <c r="F57" i="14" s="1"/>
  <c r="C57" i="14"/>
  <c r="I56" i="14"/>
  <c r="H56" i="14"/>
  <c r="G56" i="14"/>
  <c r="F56" i="14"/>
  <c r="E56" i="14"/>
  <c r="D56" i="14"/>
  <c r="C56" i="14"/>
  <c r="H51" i="14"/>
  <c r="G51" i="14"/>
  <c r="F51" i="14"/>
  <c r="E51" i="14"/>
  <c r="D51" i="14"/>
  <c r="C51" i="14"/>
  <c r="H50" i="14"/>
  <c r="G50" i="14"/>
  <c r="E50" i="14"/>
  <c r="D50" i="14"/>
  <c r="F50" i="14" s="1"/>
  <c r="C50" i="14"/>
  <c r="H49" i="14"/>
  <c r="G49" i="14"/>
  <c r="F49" i="14"/>
  <c r="E49" i="14"/>
  <c r="D49" i="14"/>
  <c r="C49" i="14"/>
  <c r="I43" i="14"/>
  <c r="H43" i="14"/>
  <c r="E43" i="14"/>
  <c r="F43" i="14" s="1"/>
  <c r="D43" i="14"/>
  <c r="G43" i="14" s="1"/>
  <c r="I42" i="14"/>
  <c r="H42" i="14"/>
  <c r="G42" i="14"/>
  <c r="E42" i="14"/>
  <c r="D42" i="14"/>
  <c r="I38" i="14"/>
  <c r="H38" i="14"/>
  <c r="G38" i="14"/>
  <c r="F38" i="14"/>
  <c r="E38" i="14"/>
  <c r="D38" i="14"/>
  <c r="I34" i="14"/>
  <c r="H34" i="14"/>
  <c r="G34" i="14"/>
  <c r="E34" i="14"/>
  <c r="D34" i="14"/>
  <c r="F34" i="14" s="1"/>
  <c r="I30" i="14"/>
  <c r="H30" i="14"/>
  <c r="G30" i="14"/>
  <c r="E30" i="14"/>
  <c r="F30" i="14" s="1"/>
  <c r="D30" i="14"/>
  <c r="I25" i="14"/>
  <c r="H25" i="14"/>
  <c r="G25" i="14"/>
  <c r="E25" i="14"/>
  <c r="D25" i="14"/>
  <c r="I24" i="14"/>
  <c r="H24" i="14"/>
  <c r="G24" i="14"/>
  <c r="E24" i="14"/>
  <c r="F24" i="14" s="1"/>
  <c r="D24" i="14"/>
  <c r="I20" i="14"/>
  <c r="H20" i="14"/>
  <c r="G20" i="14"/>
  <c r="E20" i="14"/>
  <c r="D20" i="14"/>
  <c r="F20" i="14" s="1"/>
  <c r="I16" i="14"/>
  <c r="H16" i="14"/>
  <c r="G16" i="14"/>
  <c r="E16" i="14"/>
  <c r="F16" i="14" s="1"/>
  <c r="D16" i="14"/>
  <c r="I15" i="14"/>
  <c r="H15" i="14"/>
  <c r="G15" i="14"/>
  <c r="E15" i="14"/>
  <c r="D15" i="14"/>
  <c r="I14" i="14"/>
  <c r="H14" i="14"/>
  <c r="G14" i="14"/>
  <c r="E14" i="14"/>
  <c r="F14" i="14" s="1"/>
  <c r="D14" i="14"/>
  <c r="I10" i="14"/>
  <c r="H10" i="14"/>
  <c r="G10" i="14"/>
  <c r="E10" i="14"/>
  <c r="D10" i="14"/>
  <c r="F10" i="14" s="1"/>
  <c r="I57" i="13"/>
  <c r="H57" i="13"/>
  <c r="G57" i="13"/>
  <c r="F57" i="13"/>
  <c r="E57" i="13"/>
  <c r="D57" i="13"/>
  <c r="C57" i="13"/>
  <c r="I56" i="13"/>
  <c r="H56" i="13"/>
  <c r="G56" i="13"/>
  <c r="C56" i="13"/>
  <c r="D56" i="13" s="1"/>
  <c r="F56" i="13" s="1"/>
  <c r="I55" i="13"/>
  <c r="H55" i="13"/>
  <c r="G55" i="13"/>
  <c r="E55" i="13"/>
  <c r="D55" i="13"/>
  <c r="C55" i="13"/>
  <c r="H50" i="13"/>
  <c r="G50" i="13"/>
  <c r="E50" i="13"/>
  <c r="C50" i="13"/>
  <c r="D50" i="13" s="1"/>
  <c r="H49" i="13"/>
  <c r="G49" i="13"/>
  <c r="E49" i="13"/>
  <c r="C49" i="13"/>
  <c r="D49" i="13" s="1"/>
  <c r="H48" i="13"/>
  <c r="G48" i="13"/>
  <c r="E48" i="13"/>
  <c r="C48" i="13"/>
  <c r="D48" i="13" s="1"/>
  <c r="I42" i="13"/>
  <c r="H42" i="13"/>
  <c r="G42" i="13"/>
  <c r="E42" i="13"/>
  <c r="D42" i="13"/>
  <c r="I41" i="13"/>
  <c r="H41" i="13"/>
  <c r="G41" i="13"/>
  <c r="E41" i="13"/>
  <c r="F41" i="13" s="1"/>
  <c r="D41" i="13"/>
  <c r="I37" i="13"/>
  <c r="H37" i="13"/>
  <c r="G37" i="13"/>
  <c r="E37" i="13"/>
  <c r="D37" i="13"/>
  <c r="I36" i="13"/>
  <c r="H36" i="13"/>
  <c r="G36" i="13"/>
  <c r="E36" i="13"/>
  <c r="F36" i="13" s="1"/>
  <c r="D36" i="13"/>
  <c r="I32" i="13"/>
  <c r="H32" i="13"/>
  <c r="G32" i="13"/>
  <c r="E32" i="13"/>
  <c r="D32" i="13"/>
  <c r="F32" i="13" s="1"/>
  <c r="I28" i="13"/>
  <c r="H28" i="13"/>
  <c r="G28" i="13"/>
  <c r="E28" i="13"/>
  <c r="F28" i="13" s="1"/>
  <c r="D28" i="13"/>
  <c r="I23" i="13"/>
  <c r="H23" i="13"/>
  <c r="G23" i="13"/>
  <c r="E23" i="13"/>
  <c r="D23" i="13"/>
  <c r="I19" i="13"/>
  <c r="H19" i="13"/>
  <c r="G19" i="13"/>
  <c r="F19" i="13"/>
  <c r="E19" i="13"/>
  <c r="D19" i="13"/>
  <c r="I15" i="13"/>
  <c r="H15" i="13"/>
  <c r="G15" i="13"/>
  <c r="E15" i="13"/>
  <c r="D15" i="13"/>
  <c r="I14" i="13"/>
  <c r="H14" i="13"/>
  <c r="G14" i="13"/>
  <c r="E14" i="13"/>
  <c r="F14" i="13" s="1"/>
  <c r="D14" i="13"/>
  <c r="I10" i="13"/>
  <c r="H10" i="13"/>
  <c r="G10" i="13"/>
  <c r="E10" i="13"/>
  <c r="D10" i="13"/>
  <c r="F10" i="13" s="1"/>
  <c r="I61" i="12"/>
  <c r="H61" i="12"/>
  <c r="G61" i="12"/>
  <c r="E61" i="12"/>
  <c r="D61" i="12"/>
  <c r="F61" i="12" s="1"/>
  <c r="C61" i="12"/>
  <c r="I60" i="12"/>
  <c r="H60" i="12"/>
  <c r="G60" i="12"/>
  <c r="F60" i="12"/>
  <c r="E60" i="12"/>
  <c r="D60" i="12"/>
  <c r="C60" i="12"/>
  <c r="I59" i="12"/>
  <c r="H59" i="12"/>
  <c r="G59" i="12"/>
  <c r="F59" i="12"/>
  <c r="E59" i="12"/>
  <c r="D59" i="12"/>
  <c r="C59" i="12"/>
  <c r="H53" i="12"/>
  <c r="G53" i="12"/>
  <c r="E53" i="12"/>
  <c r="C53" i="12"/>
  <c r="D53" i="12" s="1"/>
  <c r="H52" i="12"/>
  <c r="G52" i="12"/>
  <c r="E52" i="12"/>
  <c r="C52" i="12"/>
  <c r="D52" i="12" s="1"/>
  <c r="H51" i="12"/>
  <c r="G51" i="12"/>
  <c r="E51" i="12"/>
  <c r="C51" i="12"/>
  <c r="D51" i="12" s="1"/>
  <c r="I45" i="12"/>
  <c r="H45" i="12"/>
  <c r="E45" i="12"/>
  <c r="D45" i="12"/>
  <c r="G45" i="12" s="1"/>
  <c r="I44" i="12"/>
  <c r="H44" i="12"/>
  <c r="E44" i="12"/>
  <c r="D44" i="12"/>
  <c r="G44" i="12" s="1"/>
  <c r="I40" i="12"/>
  <c r="H40" i="12"/>
  <c r="G40" i="12"/>
  <c r="E40" i="12"/>
  <c r="D40" i="12"/>
  <c r="I39" i="12"/>
  <c r="H39" i="12"/>
  <c r="G39" i="12"/>
  <c r="E39" i="12"/>
  <c r="D39" i="12"/>
  <c r="I38" i="12"/>
  <c r="H38" i="12"/>
  <c r="E38" i="12"/>
  <c r="D38" i="12"/>
  <c r="G38" i="12" s="1"/>
  <c r="I34" i="12"/>
  <c r="H34" i="12"/>
  <c r="G34" i="12"/>
  <c r="F34" i="12"/>
  <c r="E34" i="12"/>
  <c r="D34" i="12"/>
  <c r="I30" i="12"/>
  <c r="H30" i="12"/>
  <c r="G30" i="12"/>
  <c r="E30" i="12"/>
  <c r="D30" i="12"/>
  <c r="I25" i="12"/>
  <c r="H25" i="12"/>
  <c r="E25" i="12"/>
  <c r="D25" i="12"/>
  <c r="G25" i="12" s="1"/>
  <c r="I24" i="12"/>
  <c r="H24" i="12"/>
  <c r="E24" i="12"/>
  <c r="D24" i="12"/>
  <c r="G24" i="12" s="1"/>
  <c r="I20" i="12"/>
  <c r="H20" i="12"/>
  <c r="G20" i="12"/>
  <c r="E20" i="12"/>
  <c r="D20" i="12"/>
  <c r="F20" i="12" s="1"/>
  <c r="I16" i="12"/>
  <c r="H16" i="12"/>
  <c r="G16" i="12"/>
  <c r="E16" i="12"/>
  <c r="D16" i="12"/>
  <c r="I15" i="12"/>
  <c r="H15" i="12"/>
  <c r="E15" i="12"/>
  <c r="D15" i="12"/>
  <c r="I14" i="12"/>
  <c r="H14" i="12"/>
  <c r="E14" i="12"/>
  <c r="D14" i="12"/>
  <c r="G14" i="12" s="1"/>
  <c r="I10" i="12"/>
  <c r="H10" i="12"/>
  <c r="G10" i="12"/>
  <c r="E10" i="12"/>
  <c r="D10" i="12"/>
  <c r="F10" i="12" s="1"/>
  <c r="I58" i="11"/>
  <c r="H58" i="11"/>
  <c r="G58" i="11"/>
  <c r="F58" i="11"/>
  <c r="E58" i="11"/>
  <c r="D58" i="11"/>
  <c r="C58" i="11"/>
  <c r="I57" i="11"/>
  <c r="H57" i="11"/>
  <c r="G57" i="11"/>
  <c r="F57" i="11"/>
  <c r="E57" i="11"/>
  <c r="D57" i="11"/>
  <c r="C57" i="11"/>
  <c r="I56" i="11"/>
  <c r="H56" i="11"/>
  <c r="G56" i="11"/>
  <c r="E56" i="11"/>
  <c r="D56" i="11"/>
  <c r="F56" i="11" s="1"/>
  <c r="C56" i="11"/>
  <c r="H51" i="11"/>
  <c r="G51" i="11"/>
  <c r="E51" i="11"/>
  <c r="C51" i="11"/>
  <c r="D51" i="11" s="1"/>
  <c r="H50" i="11"/>
  <c r="G50" i="11"/>
  <c r="E50" i="11"/>
  <c r="C50" i="11"/>
  <c r="D50" i="11" s="1"/>
  <c r="H49" i="11"/>
  <c r="G49" i="11"/>
  <c r="E49" i="11"/>
  <c r="C49" i="11"/>
  <c r="D49" i="11" s="1"/>
  <c r="I43" i="11"/>
  <c r="H43" i="11"/>
  <c r="G43" i="11"/>
  <c r="E43" i="11"/>
  <c r="D43" i="11"/>
  <c r="I42" i="11"/>
  <c r="H42" i="11"/>
  <c r="G42" i="11"/>
  <c r="E42" i="11"/>
  <c r="F42" i="11" s="1"/>
  <c r="D42" i="11"/>
  <c r="I38" i="11"/>
  <c r="H38" i="11"/>
  <c r="E38" i="11"/>
  <c r="D38" i="11"/>
  <c r="I37" i="11"/>
  <c r="H37" i="11"/>
  <c r="G37" i="11"/>
  <c r="E37" i="11"/>
  <c r="F37" i="11" s="1"/>
  <c r="D37" i="11"/>
  <c r="I33" i="11"/>
  <c r="H33" i="11"/>
  <c r="E33" i="11"/>
  <c r="D33" i="11"/>
  <c r="I29" i="11"/>
  <c r="H29" i="11"/>
  <c r="G29" i="11"/>
  <c r="E29" i="11"/>
  <c r="F29" i="11" s="1"/>
  <c r="D29" i="11"/>
  <c r="I24" i="11"/>
  <c r="H24" i="11"/>
  <c r="G24" i="11"/>
  <c r="E24" i="11"/>
  <c r="D24" i="11"/>
  <c r="I20" i="11"/>
  <c r="H20" i="11"/>
  <c r="G20" i="11"/>
  <c r="F20" i="11"/>
  <c r="E20" i="11"/>
  <c r="D20" i="11"/>
  <c r="I16" i="11"/>
  <c r="H16" i="11"/>
  <c r="G16" i="11"/>
  <c r="E16" i="11"/>
  <c r="D16" i="11"/>
  <c r="I15" i="11"/>
  <c r="H15" i="11"/>
  <c r="G15" i="11"/>
  <c r="E15" i="11"/>
  <c r="F15" i="11" s="1"/>
  <c r="D15" i="11"/>
  <c r="I14" i="11"/>
  <c r="H14" i="11"/>
  <c r="E14" i="11"/>
  <c r="D14" i="11"/>
  <c r="I10" i="11"/>
  <c r="H10" i="11"/>
  <c r="G10" i="11"/>
  <c r="F10" i="11"/>
  <c r="E10" i="11"/>
  <c r="D10" i="11"/>
  <c r="I57" i="10"/>
  <c r="H57" i="10"/>
  <c r="G57" i="10"/>
  <c r="F57" i="10"/>
  <c r="E57" i="10"/>
  <c r="D57" i="10"/>
  <c r="C57" i="10"/>
  <c r="I56" i="10"/>
  <c r="H56" i="10"/>
  <c r="G56" i="10"/>
  <c r="E56" i="10"/>
  <c r="D56" i="10"/>
  <c r="F56" i="10" s="1"/>
  <c r="C56" i="10"/>
  <c r="I55" i="10"/>
  <c r="H55" i="10"/>
  <c r="G55" i="10"/>
  <c r="F55" i="10"/>
  <c r="E55" i="10"/>
  <c r="D55" i="10"/>
  <c r="C55" i="10"/>
  <c r="H50" i="10"/>
  <c r="G50" i="10"/>
  <c r="F50" i="10"/>
  <c r="E50" i="10"/>
  <c r="D50" i="10"/>
  <c r="C50" i="10"/>
  <c r="H49" i="10"/>
  <c r="G49" i="10"/>
  <c r="E49" i="10"/>
  <c r="D49" i="10"/>
  <c r="F49" i="10" s="1"/>
  <c r="C49" i="10"/>
  <c r="H48" i="10"/>
  <c r="G48" i="10"/>
  <c r="F48" i="10"/>
  <c r="E48" i="10"/>
  <c r="D48" i="10"/>
  <c r="C48" i="10"/>
  <c r="I42" i="10"/>
  <c r="H42" i="10"/>
  <c r="G42" i="10"/>
  <c r="E42" i="10"/>
  <c r="F42" i="10" s="1"/>
  <c r="D42" i="10"/>
  <c r="I41" i="10"/>
  <c r="H41" i="10"/>
  <c r="G41" i="10"/>
  <c r="E41" i="10"/>
  <c r="D41" i="10"/>
  <c r="I37" i="10"/>
  <c r="H37" i="10"/>
  <c r="G37" i="10"/>
  <c r="F37" i="10"/>
  <c r="E37" i="10"/>
  <c r="D37" i="10"/>
  <c r="I33" i="10"/>
  <c r="H33" i="10"/>
  <c r="G33" i="10"/>
  <c r="E33" i="10"/>
  <c r="D33" i="10"/>
  <c r="F33" i="10" s="1"/>
  <c r="I29" i="10"/>
  <c r="H29" i="10"/>
  <c r="G29" i="10"/>
  <c r="E29" i="10"/>
  <c r="F29" i="10" s="1"/>
  <c r="D29" i="10"/>
  <c r="I24" i="10"/>
  <c r="H24" i="10"/>
  <c r="E24" i="10"/>
  <c r="D24" i="10"/>
  <c r="I23" i="10"/>
  <c r="H23" i="10"/>
  <c r="G23" i="10"/>
  <c r="E23" i="10"/>
  <c r="F23" i="10" s="1"/>
  <c r="D23" i="10"/>
  <c r="I19" i="10"/>
  <c r="H19" i="10"/>
  <c r="G19" i="10"/>
  <c r="E19" i="10"/>
  <c r="D19" i="10"/>
  <c r="F19" i="10" s="1"/>
  <c r="I15" i="10"/>
  <c r="H15" i="10"/>
  <c r="G15" i="10"/>
  <c r="E15" i="10"/>
  <c r="F15" i="10" s="1"/>
  <c r="D15" i="10"/>
  <c r="I14" i="10"/>
  <c r="H14" i="10"/>
  <c r="G14" i="10"/>
  <c r="E14" i="10"/>
  <c r="D14" i="10"/>
  <c r="I10" i="10"/>
  <c r="H10" i="10"/>
  <c r="G10" i="10"/>
  <c r="F10" i="10"/>
  <c r="E10" i="10"/>
  <c r="D10" i="10"/>
  <c r="I57" i="9"/>
  <c r="H57" i="9"/>
  <c r="G57" i="9"/>
  <c r="F57" i="9"/>
  <c r="E57" i="9"/>
  <c r="D57" i="9"/>
  <c r="C57" i="9"/>
  <c r="I56" i="9"/>
  <c r="H56" i="9"/>
  <c r="G56" i="9"/>
  <c r="E56" i="9"/>
  <c r="D56" i="9"/>
  <c r="F56" i="9" s="1"/>
  <c r="C56" i="9"/>
  <c r="I55" i="9"/>
  <c r="H55" i="9"/>
  <c r="G55" i="9"/>
  <c r="C55" i="9"/>
  <c r="D55" i="9" s="1"/>
  <c r="H50" i="9"/>
  <c r="G50" i="9"/>
  <c r="E50" i="9"/>
  <c r="F50" i="9" s="1"/>
  <c r="C50" i="9"/>
  <c r="D50" i="9" s="1"/>
  <c r="H49" i="9"/>
  <c r="G49" i="9"/>
  <c r="E49" i="9"/>
  <c r="C49" i="9"/>
  <c r="D49" i="9" s="1"/>
  <c r="H48" i="9"/>
  <c r="G48" i="9"/>
  <c r="E48" i="9"/>
  <c r="C48" i="9"/>
  <c r="D48" i="9" s="1"/>
  <c r="I42" i="9"/>
  <c r="H42" i="9"/>
  <c r="G42" i="9"/>
  <c r="E42" i="9"/>
  <c r="F42" i="9" s="1"/>
  <c r="D42" i="9"/>
  <c r="I41" i="9"/>
  <c r="H41" i="9"/>
  <c r="E41" i="9"/>
  <c r="D41" i="9"/>
  <c r="I37" i="9"/>
  <c r="H37" i="9"/>
  <c r="G37" i="9"/>
  <c r="E37" i="9"/>
  <c r="F37" i="9" s="1"/>
  <c r="D37" i="9"/>
  <c r="I36" i="9"/>
  <c r="H36" i="9"/>
  <c r="E36" i="9"/>
  <c r="D36" i="9"/>
  <c r="I32" i="9"/>
  <c r="H32" i="9"/>
  <c r="G32" i="9"/>
  <c r="F32" i="9"/>
  <c r="E32" i="9"/>
  <c r="D32" i="9"/>
  <c r="I28" i="9"/>
  <c r="H28" i="9"/>
  <c r="G28" i="9"/>
  <c r="E28" i="9"/>
  <c r="D28" i="9"/>
  <c r="I23" i="9"/>
  <c r="H23" i="9"/>
  <c r="G23" i="9"/>
  <c r="E23" i="9"/>
  <c r="F23" i="9" s="1"/>
  <c r="D23" i="9"/>
  <c r="I19" i="9"/>
  <c r="H19" i="9"/>
  <c r="G19" i="9"/>
  <c r="E19" i="9"/>
  <c r="D19" i="9"/>
  <c r="F19" i="9" s="1"/>
  <c r="I15" i="9"/>
  <c r="H15" i="9"/>
  <c r="G15" i="9"/>
  <c r="E15" i="9"/>
  <c r="F15" i="9" s="1"/>
  <c r="D15" i="9"/>
  <c r="I14" i="9"/>
  <c r="H14" i="9"/>
  <c r="E14" i="9"/>
  <c r="D14" i="9"/>
  <c r="I10" i="9"/>
  <c r="H10" i="9"/>
  <c r="G10" i="9"/>
  <c r="F10" i="9"/>
  <c r="E10" i="9"/>
  <c r="D10" i="9"/>
  <c r="I58" i="8"/>
  <c r="H58" i="8"/>
  <c r="G58" i="8"/>
  <c r="F58" i="8"/>
  <c r="E58" i="8"/>
  <c r="D58" i="8"/>
  <c r="C58" i="8"/>
  <c r="I57" i="8"/>
  <c r="H57" i="8"/>
  <c r="G57" i="8"/>
  <c r="E57" i="8"/>
  <c r="D57" i="8"/>
  <c r="F57" i="8" s="1"/>
  <c r="C57" i="8"/>
  <c r="I56" i="8"/>
  <c r="H56" i="8"/>
  <c r="G56" i="8"/>
  <c r="C56" i="8"/>
  <c r="D56" i="8" s="1"/>
  <c r="H51" i="8"/>
  <c r="G51" i="8"/>
  <c r="F51" i="8"/>
  <c r="E51" i="8"/>
  <c r="D51" i="8"/>
  <c r="C51" i="8"/>
  <c r="H50" i="8"/>
  <c r="G50" i="8"/>
  <c r="E50" i="8"/>
  <c r="C50" i="8"/>
  <c r="D50" i="8" s="1"/>
  <c r="H49" i="8"/>
  <c r="G49" i="8"/>
  <c r="E49" i="8"/>
  <c r="C49" i="8"/>
  <c r="D49" i="8" s="1"/>
  <c r="I43" i="8"/>
  <c r="H43" i="8"/>
  <c r="G43" i="8"/>
  <c r="E43" i="8"/>
  <c r="F43" i="8" s="1"/>
  <c r="D43" i="8"/>
  <c r="I42" i="8"/>
  <c r="H42" i="8"/>
  <c r="E42" i="8"/>
  <c r="D42" i="8"/>
  <c r="I38" i="8"/>
  <c r="H38" i="8"/>
  <c r="G38" i="8"/>
  <c r="E38" i="8"/>
  <c r="F38" i="8" s="1"/>
  <c r="D38" i="8"/>
  <c r="I37" i="8"/>
  <c r="H37" i="8"/>
  <c r="E37" i="8"/>
  <c r="D37" i="8"/>
  <c r="I33" i="8"/>
  <c r="H33" i="8"/>
  <c r="G33" i="8"/>
  <c r="E33" i="8"/>
  <c r="F33" i="8" s="1"/>
  <c r="D33" i="8"/>
  <c r="I29" i="8"/>
  <c r="H29" i="8"/>
  <c r="G29" i="8"/>
  <c r="E29" i="8"/>
  <c r="D29" i="8"/>
  <c r="I24" i="8"/>
  <c r="H24" i="8"/>
  <c r="G24" i="8"/>
  <c r="E24" i="8"/>
  <c r="F24" i="8" s="1"/>
  <c r="D24" i="8"/>
  <c r="I20" i="8"/>
  <c r="H20" i="8"/>
  <c r="G20" i="8"/>
  <c r="E20" i="8"/>
  <c r="D20" i="8"/>
  <c r="F20" i="8" s="1"/>
  <c r="I16" i="8"/>
  <c r="H16" i="8"/>
  <c r="G16" i="8"/>
  <c r="E16" i="8"/>
  <c r="F16" i="8" s="1"/>
  <c r="D16" i="8"/>
  <c r="I15" i="8"/>
  <c r="H15" i="8"/>
  <c r="E15" i="8"/>
  <c r="D15" i="8"/>
  <c r="I14" i="8"/>
  <c r="H14" i="8"/>
  <c r="G14" i="8"/>
  <c r="E14" i="8"/>
  <c r="F14" i="8" s="1"/>
  <c r="D14" i="8"/>
  <c r="I10" i="8"/>
  <c r="H10" i="8"/>
  <c r="G10" i="8"/>
  <c r="E10" i="8"/>
  <c r="D10" i="8"/>
  <c r="F10" i="8" s="1"/>
  <c r="I59" i="7"/>
  <c r="H59" i="7"/>
  <c r="G59" i="7"/>
  <c r="F59" i="7"/>
  <c r="E59" i="7"/>
  <c r="D59" i="7"/>
  <c r="C59" i="7"/>
  <c r="I58" i="7"/>
  <c r="H58" i="7"/>
  <c r="G58" i="7"/>
  <c r="F58" i="7"/>
  <c r="C58" i="7"/>
  <c r="D58" i="7" s="1"/>
  <c r="I57" i="7"/>
  <c r="H57" i="7"/>
  <c r="G57" i="7"/>
  <c r="E57" i="7"/>
  <c r="D57" i="7"/>
  <c r="C57" i="7"/>
  <c r="H52" i="7"/>
  <c r="G52" i="7"/>
  <c r="E52" i="7"/>
  <c r="D52" i="7"/>
  <c r="F52" i="7" s="1"/>
  <c r="C52" i="7"/>
  <c r="H51" i="7"/>
  <c r="G51" i="7"/>
  <c r="F51" i="7"/>
  <c r="E51" i="7"/>
  <c r="D51" i="7"/>
  <c r="C51" i="7"/>
  <c r="H50" i="7"/>
  <c r="G50" i="7"/>
  <c r="E50" i="7"/>
  <c r="D50" i="7"/>
  <c r="C50" i="7"/>
  <c r="I44" i="7"/>
  <c r="H44" i="7"/>
  <c r="G44" i="7"/>
  <c r="E44" i="7"/>
  <c r="D44" i="7"/>
  <c r="I43" i="7"/>
  <c r="H43" i="7"/>
  <c r="G43" i="7"/>
  <c r="E43" i="7"/>
  <c r="F43" i="7" s="1"/>
  <c r="D43" i="7"/>
  <c r="I39" i="7"/>
  <c r="H39" i="7"/>
  <c r="G39" i="7"/>
  <c r="E39" i="7"/>
  <c r="D39" i="7"/>
  <c r="I38" i="7"/>
  <c r="H38" i="7"/>
  <c r="G38" i="7"/>
  <c r="E38" i="7"/>
  <c r="F38" i="7" s="1"/>
  <c r="D38" i="7"/>
  <c r="I34" i="7"/>
  <c r="H34" i="7"/>
  <c r="G34" i="7"/>
  <c r="E34" i="7"/>
  <c r="D34" i="7"/>
  <c r="F34" i="7" s="1"/>
  <c r="I30" i="7"/>
  <c r="H30" i="7"/>
  <c r="G30" i="7"/>
  <c r="E30" i="7"/>
  <c r="F30" i="7" s="1"/>
  <c r="D30" i="7"/>
  <c r="I25" i="7"/>
  <c r="H25" i="7"/>
  <c r="E25" i="7"/>
  <c r="D25" i="7"/>
  <c r="I24" i="7"/>
  <c r="H24" i="7"/>
  <c r="G24" i="7"/>
  <c r="E24" i="7"/>
  <c r="F24" i="7" s="1"/>
  <c r="D24" i="7"/>
  <c r="I20" i="7"/>
  <c r="H20" i="7"/>
  <c r="G20" i="7"/>
  <c r="E20" i="7"/>
  <c r="D20" i="7"/>
  <c r="F20" i="7" s="1"/>
  <c r="I16" i="7"/>
  <c r="H16" i="7"/>
  <c r="G16" i="7"/>
  <c r="E16" i="7"/>
  <c r="F16" i="7" s="1"/>
  <c r="D16" i="7"/>
  <c r="I15" i="7"/>
  <c r="H15" i="7"/>
  <c r="G15" i="7"/>
  <c r="E15" i="7"/>
  <c r="D15" i="7"/>
  <c r="I14" i="7"/>
  <c r="H14" i="7"/>
  <c r="G14" i="7"/>
  <c r="E14" i="7"/>
  <c r="F14" i="7" s="1"/>
  <c r="D14" i="7"/>
  <c r="I10" i="7"/>
  <c r="H10" i="7"/>
  <c r="G10" i="7"/>
  <c r="E10" i="7"/>
  <c r="D10" i="7"/>
  <c r="F10" i="7" s="1"/>
  <c r="I57" i="6"/>
  <c r="H57" i="6"/>
  <c r="G57" i="6"/>
  <c r="E57" i="6"/>
  <c r="D57" i="6"/>
  <c r="F57" i="6" s="1"/>
  <c r="C57" i="6"/>
  <c r="I56" i="6"/>
  <c r="H56" i="6"/>
  <c r="G56" i="6"/>
  <c r="F56" i="6"/>
  <c r="E56" i="6"/>
  <c r="D56" i="6"/>
  <c r="C56" i="6"/>
  <c r="I55" i="6"/>
  <c r="H55" i="6"/>
  <c r="G55" i="6"/>
  <c r="E55" i="6"/>
  <c r="F55" i="6" s="1"/>
  <c r="D55" i="6"/>
  <c r="C55" i="6"/>
  <c r="H50" i="6"/>
  <c r="G50" i="6"/>
  <c r="E50" i="6"/>
  <c r="D50" i="6"/>
  <c r="F50" i="6" s="1"/>
  <c r="C50" i="6"/>
  <c r="H49" i="6"/>
  <c r="G49" i="6"/>
  <c r="E49" i="6"/>
  <c r="F49" i="6" s="1"/>
  <c r="C49" i="6"/>
  <c r="D49" i="6" s="1"/>
  <c r="H48" i="6"/>
  <c r="G48" i="6"/>
  <c r="E48" i="6"/>
  <c r="C48" i="6"/>
  <c r="D48" i="6" s="1"/>
  <c r="I42" i="6"/>
  <c r="H42" i="6"/>
  <c r="E42" i="6"/>
  <c r="D42" i="6"/>
  <c r="I41" i="6"/>
  <c r="H41" i="6"/>
  <c r="G41" i="6"/>
  <c r="E41" i="6"/>
  <c r="F41" i="6" s="1"/>
  <c r="D41" i="6"/>
  <c r="I37" i="6"/>
  <c r="H37" i="6"/>
  <c r="G37" i="6"/>
  <c r="E37" i="6"/>
  <c r="D37" i="6"/>
  <c r="F37" i="6" s="1"/>
  <c r="I33" i="6"/>
  <c r="H33" i="6"/>
  <c r="G33" i="6"/>
  <c r="F33" i="6"/>
  <c r="E33" i="6"/>
  <c r="D33" i="6"/>
  <c r="I29" i="6"/>
  <c r="H29" i="6"/>
  <c r="G29" i="6"/>
  <c r="E29" i="6"/>
  <c r="D29" i="6"/>
  <c r="I24" i="6"/>
  <c r="H24" i="6"/>
  <c r="G24" i="6"/>
  <c r="E24" i="6"/>
  <c r="F24" i="6" s="1"/>
  <c r="D24" i="6"/>
  <c r="I20" i="6"/>
  <c r="H20" i="6"/>
  <c r="G20" i="6"/>
  <c r="E20" i="6"/>
  <c r="D20" i="6"/>
  <c r="F20" i="6" s="1"/>
  <c r="I16" i="6"/>
  <c r="H16" i="6"/>
  <c r="G16" i="6"/>
  <c r="E16" i="6"/>
  <c r="F16" i="6" s="1"/>
  <c r="D16" i="6"/>
  <c r="I15" i="6"/>
  <c r="H15" i="6"/>
  <c r="E15" i="6"/>
  <c r="D15" i="6"/>
  <c r="I14" i="6"/>
  <c r="H14" i="6"/>
  <c r="G14" i="6"/>
  <c r="E14" i="6"/>
  <c r="F14" i="6" s="1"/>
  <c r="D14" i="6"/>
  <c r="I10" i="6"/>
  <c r="H10" i="6"/>
  <c r="G10" i="6"/>
  <c r="E10" i="6"/>
  <c r="D10" i="6"/>
  <c r="F10" i="6" s="1"/>
  <c r="I57" i="5"/>
  <c r="H57" i="5"/>
  <c r="G57" i="5"/>
  <c r="F57" i="5"/>
  <c r="E57" i="5"/>
  <c r="D57" i="5"/>
  <c r="C57" i="5"/>
  <c r="I56" i="5"/>
  <c r="H56" i="5"/>
  <c r="G56" i="5"/>
  <c r="F56" i="5"/>
  <c r="E56" i="5"/>
  <c r="D56" i="5"/>
  <c r="C56" i="5"/>
  <c r="I55" i="5"/>
  <c r="H55" i="5"/>
  <c r="G55" i="5"/>
  <c r="E55" i="5"/>
  <c r="D55" i="5"/>
  <c r="F55" i="5" s="1"/>
  <c r="C55" i="5"/>
  <c r="H50" i="5"/>
  <c r="G50" i="5"/>
  <c r="E50" i="5"/>
  <c r="D50" i="5"/>
  <c r="F50" i="5" s="1"/>
  <c r="C50" i="5"/>
  <c r="H49" i="5"/>
  <c r="G49" i="5"/>
  <c r="E49" i="5"/>
  <c r="C49" i="5"/>
  <c r="D49" i="5" s="1"/>
  <c r="H48" i="5"/>
  <c r="G48" i="5"/>
  <c r="E48" i="5"/>
  <c r="C48" i="5"/>
  <c r="D48" i="5" s="1"/>
  <c r="I42" i="5"/>
  <c r="H42" i="5"/>
  <c r="G42" i="5"/>
  <c r="E42" i="5"/>
  <c r="D42" i="5"/>
  <c r="I41" i="5"/>
  <c r="H41" i="5"/>
  <c r="G41" i="5"/>
  <c r="E41" i="5"/>
  <c r="F41" i="5" s="1"/>
  <c r="D41" i="5"/>
  <c r="I37" i="5"/>
  <c r="H37" i="5"/>
  <c r="G37" i="5"/>
  <c r="E37" i="5"/>
  <c r="D37" i="5"/>
  <c r="F37" i="5" s="1"/>
  <c r="I33" i="5"/>
  <c r="H33" i="5"/>
  <c r="G33" i="5"/>
  <c r="F33" i="5"/>
  <c r="E33" i="5"/>
  <c r="D33" i="5"/>
  <c r="I29" i="5"/>
  <c r="H29" i="5"/>
  <c r="E29" i="5"/>
  <c r="D29" i="5"/>
  <c r="G29" i="5" s="1"/>
  <c r="I24" i="5"/>
  <c r="H24" i="5"/>
  <c r="G24" i="5"/>
  <c r="E24" i="5"/>
  <c r="F24" i="5" s="1"/>
  <c r="D24" i="5"/>
  <c r="I20" i="5"/>
  <c r="H20" i="5"/>
  <c r="G20" i="5"/>
  <c r="E20" i="5"/>
  <c r="D20" i="5"/>
  <c r="F20" i="5" s="1"/>
  <c r="I16" i="5"/>
  <c r="H16" i="5"/>
  <c r="G16" i="5"/>
  <c r="E16" i="5"/>
  <c r="F16" i="5" s="1"/>
  <c r="D16" i="5"/>
  <c r="I15" i="5"/>
  <c r="H15" i="5"/>
  <c r="E15" i="5"/>
  <c r="D15" i="5"/>
  <c r="G15" i="5" s="1"/>
  <c r="I14" i="5"/>
  <c r="H14" i="5"/>
  <c r="G14" i="5"/>
  <c r="E14" i="5"/>
  <c r="F14" i="5" s="1"/>
  <c r="D14" i="5"/>
  <c r="I10" i="5"/>
  <c r="H10" i="5"/>
  <c r="G10" i="5"/>
  <c r="E10" i="5"/>
  <c r="D10" i="5"/>
  <c r="F10" i="5" s="1"/>
  <c r="I56" i="4"/>
  <c r="H56" i="4"/>
  <c r="G56" i="4"/>
  <c r="E56" i="4"/>
  <c r="D56" i="4"/>
  <c r="F56" i="4" s="1"/>
  <c r="C56" i="4"/>
  <c r="I55" i="4"/>
  <c r="H55" i="4"/>
  <c r="G55" i="4"/>
  <c r="E55" i="4"/>
  <c r="D55" i="4"/>
  <c r="F55" i="4" s="1"/>
  <c r="C55" i="4"/>
  <c r="I54" i="4"/>
  <c r="H54" i="4"/>
  <c r="G54" i="4"/>
  <c r="F54" i="4"/>
  <c r="E54" i="4"/>
  <c r="D54" i="4"/>
  <c r="C54" i="4"/>
  <c r="H49" i="4"/>
  <c r="G49" i="4"/>
  <c r="E49" i="4"/>
  <c r="D49" i="4"/>
  <c r="F49" i="4" s="1"/>
  <c r="C49" i="4"/>
  <c r="H48" i="4"/>
  <c r="G48" i="4"/>
  <c r="F48" i="4"/>
  <c r="E48" i="4"/>
  <c r="D48" i="4"/>
  <c r="C48" i="4"/>
  <c r="H47" i="4"/>
  <c r="G47" i="4"/>
  <c r="E47" i="4"/>
  <c r="D47" i="4"/>
  <c r="F47" i="4" s="1"/>
  <c r="C47" i="4"/>
  <c r="I41" i="4"/>
  <c r="H41" i="4"/>
  <c r="E41" i="4"/>
  <c r="D41" i="4"/>
  <c r="G41" i="4" s="1"/>
  <c r="I37" i="4"/>
  <c r="H37" i="4"/>
  <c r="G37" i="4"/>
  <c r="F37" i="4"/>
  <c r="E37" i="4"/>
  <c r="D37" i="4"/>
  <c r="I33" i="4"/>
  <c r="H33" i="4"/>
  <c r="G33" i="4"/>
  <c r="E33" i="4"/>
  <c r="D33" i="4"/>
  <c r="F33" i="4" s="1"/>
  <c r="I29" i="4"/>
  <c r="H29" i="4"/>
  <c r="E29" i="4"/>
  <c r="D29" i="4"/>
  <c r="G29" i="4" s="1"/>
  <c r="I24" i="4"/>
  <c r="H24" i="4"/>
  <c r="E24" i="4"/>
  <c r="D24" i="4"/>
  <c r="G24" i="4" s="1"/>
  <c r="I20" i="4"/>
  <c r="H20" i="4"/>
  <c r="E20" i="4"/>
  <c r="F20" i="4" s="1"/>
  <c r="D20" i="4"/>
  <c r="G20" i="4" s="1"/>
  <c r="I16" i="4"/>
  <c r="H16" i="4"/>
  <c r="E16" i="4"/>
  <c r="D16" i="4"/>
  <c r="G16" i="4" s="1"/>
  <c r="I15" i="4"/>
  <c r="H15" i="4"/>
  <c r="G15" i="4"/>
  <c r="E15" i="4"/>
  <c r="F15" i="4" s="1"/>
  <c r="D15" i="4"/>
  <c r="I14" i="4"/>
  <c r="H14" i="4"/>
  <c r="E14" i="4"/>
  <c r="D14" i="4"/>
  <c r="G14" i="4" s="1"/>
  <c r="I10" i="4"/>
  <c r="H10" i="4"/>
  <c r="G10" i="4"/>
  <c r="E10" i="4"/>
  <c r="D10" i="4"/>
  <c r="F10" i="4" s="1"/>
  <c r="I37" i="3"/>
  <c r="H37" i="3"/>
  <c r="G37" i="3"/>
  <c r="F37" i="3"/>
  <c r="E37" i="3"/>
  <c r="D37" i="3"/>
  <c r="C37" i="3"/>
  <c r="I36" i="3"/>
  <c r="H36" i="3"/>
  <c r="G36" i="3"/>
  <c r="E36" i="3"/>
  <c r="D36" i="3"/>
  <c r="F36" i="3" s="1"/>
  <c r="C36" i="3"/>
  <c r="I35" i="3"/>
  <c r="H35" i="3"/>
  <c r="G35" i="3"/>
  <c r="E35" i="3"/>
  <c r="D35" i="3"/>
  <c r="F35" i="3" s="1"/>
  <c r="C35" i="3"/>
  <c r="H30" i="3"/>
  <c r="G30" i="3"/>
  <c r="F30" i="3"/>
  <c r="E30" i="3"/>
  <c r="D30" i="3"/>
  <c r="C30" i="3"/>
  <c r="H29" i="3"/>
  <c r="G29" i="3"/>
  <c r="E29" i="3"/>
  <c r="D29" i="3"/>
  <c r="F29" i="3" s="1"/>
  <c r="C29" i="3"/>
  <c r="H28" i="3"/>
  <c r="G28" i="3"/>
  <c r="E28" i="3"/>
  <c r="C28" i="3"/>
  <c r="D28" i="3" s="1"/>
  <c r="I22" i="3"/>
  <c r="H22" i="3"/>
  <c r="G22" i="3"/>
  <c r="E22" i="3"/>
  <c r="F22" i="3" s="1"/>
  <c r="D22" i="3"/>
  <c r="I18" i="3"/>
  <c r="H18" i="3"/>
  <c r="E18" i="3"/>
  <c r="D18" i="3"/>
  <c r="G18" i="3" s="1"/>
  <c r="I14" i="3"/>
  <c r="H14" i="3"/>
  <c r="G14" i="3"/>
  <c r="F14" i="3"/>
  <c r="E14" i="3"/>
  <c r="D14" i="3"/>
  <c r="I10" i="3"/>
  <c r="H10" i="3"/>
  <c r="G10" i="3"/>
  <c r="E10" i="3"/>
  <c r="D10" i="3"/>
  <c r="F10" i="3" s="1"/>
  <c r="I57" i="2"/>
  <c r="H57" i="2"/>
  <c r="G57" i="2"/>
  <c r="E57" i="2"/>
  <c r="D57" i="2"/>
  <c r="F57" i="2" s="1"/>
  <c r="C57" i="2"/>
  <c r="I56" i="2"/>
  <c r="H56" i="2"/>
  <c r="G56" i="2"/>
  <c r="F56" i="2"/>
  <c r="E56" i="2"/>
  <c r="D56" i="2"/>
  <c r="C56" i="2"/>
  <c r="I55" i="2"/>
  <c r="H55" i="2"/>
  <c r="G55" i="2"/>
  <c r="E55" i="2"/>
  <c r="F55" i="2" s="1"/>
  <c r="D55" i="2"/>
  <c r="C55" i="2"/>
  <c r="H50" i="2"/>
  <c r="G50" i="2"/>
  <c r="E50" i="2"/>
  <c r="D50" i="2"/>
  <c r="C50" i="2"/>
  <c r="H49" i="2"/>
  <c r="G49" i="2"/>
  <c r="E49" i="2"/>
  <c r="C49" i="2"/>
  <c r="D49" i="2" s="1"/>
  <c r="H48" i="2"/>
  <c r="G48" i="2"/>
  <c r="E48" i="2"/>
  <c r="D48" i="2"/>
  <c r="C48" i="2"/>
  <c r="I42" i="2"/>
  <c r="H42" i="2"/>
  <c r="E42" i="2"/>
  <c r="D42" i="2"/>
  <c r="G42" i="2" s="1"/>
  <c r="I41" i="2"/>
  <c r="H41" i="2"/>
  <c r="G41" i="2"/>
  <c r="E41" i="2"/>
  <c r="F41" i="2" s="1"/>
  <c r="D41" i="2"/>
  <c r="I37" i="2"/>
  <c r="H37" i="2"/>
  <c r="G37" i="2"/>
  <c r="E37" i="2"/>
  <c r="D37" i="2"/>
  <c r="F37" i="2" s="1"/>
  <c r="I33" i="2"/>
  <c r="H33" i="2"/>
  <c r="G33" i="2"/>
  <c r="F33" i="2"/>
  <c r="E33" i="2"/>
  <c r="D33" i="2"/>
  <c r="I29" i="2"/>
  <c r="H29" i="2"/>
  <c r="E29" i="2"/>
  <c r="D29" i="2"/>
  <c r="G29" i="2" s="1"/>
  <c r="I24" i="2"/>
  <c r="H24" i="2"/>
  <c r="G24" i="2"/>
  <c r="E24" i="2"/>
  <c r="F24" i="2" s="1"/>
  <c r="D24" i="2"/>
  <c r="I20" i="2"/>
  <c r="H20" i="2"/>
  <c r="G20" i="2"/>
  <c r="E20" i="2"/>
  <c r="D20" i="2"/>
  <c r="F20" i="2" s="1"/>
  <c r="I16" i="2"/>
  <c r="H16" i="2"/>
  <c r="G16" i="2"/>
  <c r="E16" i="2"/>
  <c r="F16" i="2" s="1"/>
  <c r="D16" i="2"/>
  <c r="I15" i="2"/>
  <c r="H15" i="2"/>
  <c r="E15" i="2"/>
  <c r="D15" i="2"/>
  <c r="G15" i="2" s="1"/>
  <c r="I14" i="2"/>
  <c r="H14" i="2"/>
  <c r="G14" i="2"/>
  <c r="E14" i="2"/>
  <c r="F14" i="2" s="1"/>
  <c r="D14" i="2"/>
  <c r="I10" i="2"/>
  <c r="H10" i="2"/>
  <c r="G10" i="2"/>
  <c r="E10" i="2"/>
  <c r="D10" i="2"/>
  <c r="F10" i="2" s="1"/>
  <c r="F42" i="6" l="1"/>
  <c r="F48" i="6"/>
  <c r="F51" i="6" s="1"/>
  <c r="C16" i="16" s="1"/>
  <c r="F42" i="13"/>
  <c r="F41" i="9"/>
  <c r="F42" i="4"/>
  <c r="F59" i="14"/>
  <c r="D25" i="16" s="1"/>
  <c r="F24" i="12"/>
  <c r="F44" i="12"/>
  <c r="F14" i="12"/>
  <c r="F16" i="12"/>
  <c r="F39" i="12"/>
  <c r="G42" i="4"/>
  <c r="F29" i="4"/>
  <c r="F44" i="7"/>
  <c r="F29" i="8"/>
  <c r="F15" i="13"/>
  <c r="F58" i="2"/>
  <c r="D5" i="16" s="1"/>
  <c r="F48" i="2"/>
  <c r="F49" i="2"/>
  <c r="F48" i="5"/>
  <c r="F49" i="5"/>
  <c r="F56" i="8"/>
  <c r="F59" i="8" s="1"/>
  <c r="D8" i="16" s="1"/>
  <c r="F14" i="9"/>
  <c r="F15" i="12"/>
  <c r="F59" i="11"/>
  <c r="D9" i="16" s="1"/>
  <c r="F51" i="10"/>
  <c r="C24" i="16" s="1"/>
  <c r="F14" i="11"/>
  <c r="F24" i="11"/>
  <c r="F38" i="11"/>
  <c r="F50" i="4"/>
  <c r="F25" i="14"/>
  <c r="F58" i="6"/>
  <c r="D16" i="16" s="1"/>
  <c r="F42" i="8"/>
  <c r="F48" i="9"/>
  <c r="F49" i="9"/>
  <c r="F62" i="12"/>
  <c r="D10" i="16" s="1"/>
  <c r="F50" i="2"/>
  <c r="F28" i="3"/>
  <c r="F31" i="3" s="1"/>
  <c r="C15" i="16" s="1"/>
  <c r="F57" i="4"/>
  <c r="F58" i="5"/>
  <c r="D6" i="16" s="1"/>
  <c r="F25" i="7"/>
  <c r="F50" i="7"/>
  <c r="F53" i="7" s="1"/>
  <c r="C7" i="16" s="1"/>
  <c r="F57" i="7"/>
  <c r="F60" i="7" s="1"/>
  <c r="D7" i="16" s="1"/>
  <c r="F15" i="8"/>
  <c r="F49" i="8"/>
  <c r="F50" i="8"/>
  <c r="F36" i="9"/>
  <c r="F55" i="9"/>
  <c r="F58" i="9" s="1"/>
  <c r="D17" i="16" s="1"/>
  <c r="F24" i="10"/>
  <c r="F58" i="10"/>
  <c r="D24" i="16" s="1"/>
  <c r="F48" i="13"/>
  <c r="F50" i="13"/>
  <c r="F15" i="14"/>
  <c r="F15" i="6"/>
  <c r="F37" i="8"/>
  <c r="F28" i="9"/>
  <c r="F33" i="11"/>
  <c r="F49" i="11"/>
  <c r="F50" i="11"/>
  <c r="F51" i="11"/>
  <c r="F40" i="12"/>
  <c r="F55" i="13"/>
  <c r="F58" i="13" s="1"/>
  <c r="D18" i="16" s="1"/>
  <c r="F42" i="14"/>
  <c r="F52" i="14"/>
  <c r="C25" i="16" s="1"/>
  <c r="F38" i="3"/>
  <c r="F15" i="2"/>
  <c r="F29" i="2"/>
  <c r="F42" i="2"/>
  <c r="F18" i="3"/>
  <c r="F24" i="3" s="1"/>
  <c r="B15" i="16" s="1"/>
  <c r="F14" i="4"/>
  <c r="F16" i="4"/>
  <c r="F24" i="4"/>
  <c r="F41" i="4"/>
  <c r="F15" i="5"/>
  <c r="F29" i="5"/>
  <c r="G15" i="8"/>
  <c r="G42" i="8"/>
  <c r="G14" i="9"/>
  <c r="G41" i="9"/>
  <c r="G14" i="11"/>
  <c r="G38" i="11"/>
  <c r="F42" i="5"/>
  <c r="G15" i="6"/>
  <c r="F29" i="6"/>
  <c r="G42" i="6"/>
  <c r="F15" i="7"/>
  <c r="G25" i="7"/>
  <c r="F39" i="7"/>
  <c r="G37" i="8"/>
  <c r="G36" i="9"/>
  <c r="F14" i="10"/>
  <c r="G24" i="10"/>
  <c r="F41" i="10"/>
  <c r="F16" i="11"/>
  <c r="G33" i="11"/>
  <c r="F43" i="11"/>
  <c r="G15" i="12"/>
  <c r="F25" i="12"/>
  <c r="F38" i="12"/>
  <c r="F45" i="12"/>
  <c r="F49" i="13"/>
  <c r="F30" i="12"/>
  <c r="F51" i="12"/>
  <c r="F52" i="12"/>
  <c r="F53" i="12"/>
  <c r="F23" i="13"/>
  <c r="F37" i="13"/>
  <c r="F43" i="4" l="1"/>
  <c r="B23" i="16" s="1"/>
  <c r="C23" i="16"/>
  <c r="C26" i="16" s="1"/>
  <c r="D15" i="16"/>
  <c r="D19" i="16" s="1"/>
  <c r="D23" i="16"/>
  <c r="D26" i="16" s="1"/>
  <c r="D11" i="16"/>
  <c r="F51" i="2"/>
  <c r="C5" i="16" s="1"/>
  <c r="F51" i="13"/>
  <c r="C18" i="16" s="1"/>
  <c r="F44" i="6"/>
  <c r="B16" i="16" s="1"/>
  <c r="E16" i="16" s="1"/>
  <c r="F44" i="13"/>
  <c r="B18" i="16" s="1"/>
  <c r="F44" i="9"/>
  <c r="B17" i="16" s="1"/>
  <c r="F51" i="5"/>
  <c r="C6" i="16" s="1"/>
  <c r="F45" i="11"/>
  <c r="B9" i="16" s="1"/>
  <c r="F51" i="9"/>
  <c r="C17" i="16" s="1"/>
  <c r="F45" i="14"/>
  <c r="B25" i="16" s="1"/>
  <c r="E25" i="16" s="1"/>
  <c r="F52" i="8"/>
  <c r="C8" i="16" s="1"/>
  <c r="F44" i="5"/>
  <c r="B6" i="16" s="1"/>
  <c r="F45" i="8"/>
  <c r="B8" i="16" s="1"/>
  <c r="F44" i="2"/>
  <c r="B5" i="16" s="1"/>
  <c r="F55" i="12"/>
  <c r="C10" i="16" s="1"/>
  <c r="F44" i="10"/>
  <c r="B24" i="16" s="1"/>
  <c r="E24" i="16" s="1"/>
  <c r="F47" i="12"/>
  <c r="B10" i="16" s="1"/>
  <c r="F46" i="7"/>
  <c r="B7" i="16" s="1"/>
  <c r="E7" i="16" s="1"/>
  <c r="F52" i="11"/>
  <c r="C9" i="16" s="1"/>
  <c r="E15" i="16" l="1"/>
  <c r="C19" i="16"/>
  <c r="E6" i="16"/>
  <c r="E9" i="16"/>
  <c r="E10" i="16"/>
  <c r="E17" i="16"/>
  <c r="B26" i="16"/>
  <c r="C11" i="16"/>
  <c r="E23" i="16"/>
  <c r="E26" i="16" s="1"/>
  <c r="E8" i="16"/>
  <c r="E18" i="16"/>
  <c r="B19" i="16"/>
  <c r="B11" i="16"/>
  <c r="E5" i="16"/>
  <c r="E19" i="16" l="1"/>
  <c r="E11" i="16"/>
  <c r="E28" i="16" l="1"/>
</calcChain>
</file>

<file path=xl/sharedStrings.xml><?xml version="1.0" encoding="utf-8"?>
<sst xmlns="http://schemas.openxmlformats.org/spreadsheetml/2006/main" count="1972" uniqueCount="307">
  <si>
    <t>Produit / Commercial Name</t>
  </si>
  <si>
    <t>Catégorie</t>
  </si>
  <si>
    <t>Solubilité (g/L) / DAR</t>
  </si>
  <si>
    <t>Temps Réf / Matière Active</t>
  </si>
  <si>
    <t>Note de Terrain / Cible Spécifique</t>
  </si>
  <si>
    <t>Prix Unitaire (DA)</t>
  </si>
  <si>
    <t>Contenant (kg - L)</t>
  </si>
  <si>
    <t>Dose Homologuée</t>
  </si>
  <si>
    <t>Photo</t>
  </si>
  <si>
    <t>Fournisseur</t>
  </si>
  <si>
    <t>Quantité Acheter</t>
  </si>
  <si>
    <t>Montant Total</t>
  </si>
  <si>
    <t>Nitrate de Calcium / نترات كالسـيوم</t>
  </si>
  <si>
    <t>Fertigation - Bac A</t>
  </si>
  <si>
    <t>120</t>
  </si>
  <si>
    <t>6 min</t>
  </si>
  <si>
    <t>CRITIQUE : Isoler totalement des Sulfates/Phosphates.</t>
  </si>
  <si>
    <t>KG</t>
  </si>
  <si>
    <t>Agrimax</t>
  </si>
  <si>
    <t>Urée / يوريا</t>
  </si>
  <si>
    <t>Fertigation - Bac B</t>
  </si>
  <si>
    <t>105</t>
  </si>
  <si>
    <t>5 min</t>
  </si>
  <si>
    <t>Très soluble. Refroidit l'eau (endothermique).</t>
  </si>
  <si>
    <t>Nitrate de Potassium / نترات البوتاسيوم</t>
  </si>
  <si>
    <t>30</t>
  </si>
  <si>
    <t>15 min</t>
  </si>
  <si>
    <t>Sensible à l'eau froide du puits.</t>
  </si>
  <si>
    <t>Sulfate de Potassium / سلفات البوتاسيوم SOP</t>
  </si>
  <si>
    <t>10</t>
  </si>
  <si>
    <t>20 min</t>
  </si>
  <si>
    <t>Le plus difficile à dissoudre du marché.</t>
  </si>
  <si>
    <t>Nitrate de Magnésium / نترات ماغنسيوم</t>
  </si>
  <si>
    <t>70</t>
  </si>
  <si>
    <t>8 min</t>
  </si>
  <si>
    <t>Excellente source de magnésium soluble.</t>
  </si>
  <si>
    <t>Sulfate de Magnésium / سلفات ماغنسيوم</t>
  </si>
  <si>
    <t>Oligo-éléments / عناصر صغري</t>
  </si>
  <si>
    <t>Fertigation - Bac C</t>
  </si>
  <si>
    <t>60</t>
  </si>
  <si>
    <t>10 min</t>
  </si>
  <si>
    <t>Mélange complet d'oligo-éléments chélatés.</t>
  </si>
  <si>
    <t>Acide Humique / أسمدة عضوية</t>
  </si>
  <si>
    <t>50</t>
  </si>
  <si>
    <t>Améliore la structure du sol et l'assimilation.</t>
  </si>
  <si>
    <t>L</t>
  </si>
  <si>
    <t>Fer 6% / حديد 6%</t>
  </si>
  <si>
    <t>90</t>
  </si>
  <si>
    <t>Indispensable contre la chlorose en sol calcaire.</t>
  </si>
  <si>
    <t>Agro Rafik</t>
  </si>
  <si>
    <t>GZB Stimulateur de racines / منشط جذور</t>
  </si>
  <si>
    <t>Liquide</t>
  </si>
  <si>
    <t>-</t>
  </si>
  <si>
    <t>Stimulant organique complexe à injecter à part.</t>
  </si>
  <si>
    <t>NSDA</t>
  </si>
  <si>
    <t>Acide Nitrique / حامض نيتريك</t>
  </si>
  <si>
    <t>Fertigation - Bac D</t>
  </si>
  <si>
    <t>5000</t>
  </si>
  <si>
    <t>1 min</t>
  </si>
  <si>
    <t>CORROSIF : Gants + lunettes obligatoires.</t>
  </si>
  <si>
    <t>Acide Nitrique AGRIZOTE/ حامض نيتريك</t>
  </si>
  <si>
    <t>HYGINDUST</t>
  </si>
  <si>
    <t>Acide Phosphorique AGRIPHOS / حامض فوسفوريك</t>
  </si>
  <si>
    <t>Acide Phosphorique / حامض فوسفوريك</t>
  </si>
  <si>
    <t>Sécurité : Toujours verser l'acide dans l'eau.</t>
  </si>
  <si>
    <t>Acide Citrique / حامض سيتريك</t>
  </si>
  <si>
    <t>590</t>
  </si>
  <si>
    <t>4 min</t>
  </si>
  <si>
    <t>Idéal pour chélater et nettoyer les goutteurs.</t>
  </si>
  <si>
    <t>Acide Ascorbique / اسكوربيك اسيد</t>
  </si>
  <si>
    <t>330</t>
  </si>
  <si>
    <t>Soutient la plante contre le stress thermique saharien.</t>
  </si>
  <si>
    <t>BLIDA</t>
  </si>
  <si>
    <t>Acides Aminés 80% / أحماض أمينية</t>
  </si>
  <si>
    <t>Pulvérisation Foliaire</t>
  </si>
  <si>
    <t>Poudre</t>
  </si>
  <si>
    <t>Relance végétative</t>
  </si>
  <si>
    <t>Anti-stress foliaire post-Sirocco.</t>
  </si>
  <si>
    <t>Algreen / طحالب بحرية</t>
  </si>
  <si>
    <t>Extrait d'algues</t>
  </si>
  <si>
    <t>Soutien de la vigueur foliaire et division.</t>
  </si>
  <si>
    <t>Calcium-Bore Foliaire / كالسيوم بورون</t>
  </si>
  <si>
    <t>Fermeté fruit</t>
  </si>
  <si>
    <t>Appliquer aux stades critiques du fruit.</t>
  </si>
  <si>
    <t>Soufre Micronisé / كبريت ميكروني</t>
  </si>
  <si>
    <t>Fongicide</t>
  </si>
  <si>
    <t>Traitement préventif oïdium/tavelure.</t>
  </si>
  <si>
    <t>Gibbérelline 10% / جبريليك</t>
  </si>
  <si>
    <t>Pastille</t>
  </si>
  <si>
    <t>Hormonal</t>
  </si>
  <si>
    <t>Allongement et calibre cellulaire (5 pastilles/1000L).</t>
  </si>
  <si>
    <t>Cytokinine / سيتوكينين</t>
  </si>
  <si>
    <t>Hormone</t>
  </si>
  <si>
    <t>Division cellulaire</t>
  </si>
  <si>
    <t>Calypso</t>
  </si>
  <si>
    <t>Phytosanitaire</t>
  </si>
  <si>
    <t>Thiaclopride</t>
  </si>
  <si>
    <t>Insecticide systémique (Pucerons, Carpocapse du pommier)</t>
  </si>
  <si>
    <t>1 L</t>
  </si>
  <si>
    <t>20 à 30 cc / hl</t>
  </si>
  <si>
    <t>Sivento</t>
  </si>
  <si>
    <t>Flupyradifurone</t>
  </si>
  <si>
    <t>Excellente systémie (Pucerons, Aleurodes)</t>
  </si>
  <si>
    <t>0,5 L / ha</t>
  </si>
  <si>
    <t>Verlan</t>
  </si>
  <si>
    <t>Abamectine</t>
  </si>
  <si>
    <t>Action translaminaire (Acariens, Mineuses)</t>
  </si>
  <si>
    <t>1L</t>
  </si>
  <si>
    <t>40 à 50 cc / hl</t>
  </si>
  <si>
    <t>Bellis</t>
  </si>
  <si>
    <t>Boscalid + Pyraclostrobine</t>
  </si>
  <si>
    <t>Spécifique arbres à noyau (Coryneum du nectarinier, Oïdium)</t>
  </si>
  <si>
    <t>1 kg</t>
  </si>
  <si>
    <t>30 à 50 g / hl</t>
  </si>
  <si>
    <t>Agro Bahbah</t>
  </si>
  <si>
    <t>Erlan</t>
  </si>
  <si>
    <t>Acétamipride (Gamme locale)</t>
  </si>
  <si>
    <t>Insectes piqueurs-suceurs</t>
  </si>
  <si>
    <t>1,02 L</t>
  </si>
  <si>
    <t>200 à 300 g / ha</t>
  </si>
  <si>
    <t>Sherpa 25 EC</t>
  </si>
  <si>
    <t>Cyperméthrine</t>
  </si>
  <si>
    <t>Effet de choc par contact (Psylle de l'olivier, Noctuelles)</t>
  </si>
  <si>
    <t>0,250 L</t>
  </si>
  <si>
    <t>Decis Expert</t>
  </si>
  <si>
    <t>Deltaméthrine</t>
  </si>
  <si>
    <t>Large spectre, action foudroyante</t>
  </si>
  <si>
    <t>250 ml / ha</t>
  </si>
  <si>
    <t>Acetaplan</t>
  </si>
  <si>
    <t>Acetamipride</t>
  </si>
  <si>
    <t>Insecticide systémiques</t>
  </si>
  <si>
    <t>Amistar</t>
  </si>
  <si>
    <t>Azoxystrobine</t>
  </si>
  <si>
    <t>Fongicide préventif large spectre</t>
  </si>
  <si>
    <t>0,8 à 1 L / ha</t>
  </si>
  <si>
    <t>Azostar 325SC</t>
  </si>
  <si>
    <t>Azoxystrobine + Difénoconazole</t>
  </si>
  <si>
    <t>Double action (Tavelure du pommier, Oïdium)</t>
  </si>
  <si>
    <t>0,75 à 1 L / ha</t>
  </si>
  <si>
    <t>Zorro</t>
  </si>
  <si>
    <t>Abamectine (Formulation EW)</t>
  </si>
  <si>
    <t>Acaricide de référence (Acariens rouges)</t>
  </si>
  <si>
    <t>Fosetyl Aluminium</t>
  </si>
  <si>
    <t>Fosétyl-Al (ex: Aliette)</t>
  </si>
  <si>
    <t>Systémie ascendante/descendante (Phytophthora, Mildiou)</t>
  </si>
  <si>
    <t>1 Kg</t>
  </si>
  <si>
    <t>2,5 kg / ha</t>
  </si>
  <si>
    <t>Luna</t>
  </si>
  <si>
    <t>Fluopyram + Trifloxystrobine</t>
  </si>
  <si>
    <t>Très haute efficacité (Monilia, Tavelure, Oïdium)</t>
  </si>
  <si>
    <t>0,3 à 0,4 L / ha</t>
  </si>
  <si>
    <t>Criptan</t>
  </si>
  <si>
    <t>Captane</t>
  </si>
  <si>
    <t>Fongicide de contact (Tavelure, Monilia)</t>
  </si>
  <si>
    <t>1,5 à 2 kg / ha</t>
  </si>
  <si>
    <t>Extrachim</t>
  </si>
  <si>
    <t>Gamme de distribution</t>
  </si>
  <si>
    <t>Distributeur local proposant plusieurs matières actives</t>
  </si>
  <si>
    <t>0,1 Kg</t>
  </si>
  <si>
    <t>Selon le produit</t>
  </si>
  <si>
    <t>Rustilan</t>
  </si>
  <si>
    <t>Acétamipride</t>
  </si>
  <si>
    <t>Systémique racinaire et foliaire (Pucerons)</t>
  </si>
  <si>
    <t>Agro Kamel</t>
  </si>
  <si>
    <t>Tachigazol</t>
  </si>
  <si>
    <t>Hymexazol</t>
  </si>
  <si>
    <t>Désinfection des sols (Fusarium). Apport en irrigation.</t>
  </si>
  <si>
    <t>1 à 2 L / ha</t>
  </si>
  <si>
    <t>Phytocap</t>
  </si>
  <si>
    <t>PROGRAMME DE PRÉCISION DOUBLE - NECTARINE : NABARA</t>
  </si>
  <si>
    <t>NOMBRE D'HECTARES :</t>
  </si>
  <si>
    <t>DATE DU PROGRAMME :</t>
  </si>
  <si>
    <t>2026-03-09</t>
  </si>
  <si>
    <t>ESPÈCE / PARCELLE :</t>
  </si>
  <si>
    <t>Nectarine : Nabara</t>
  </si>
  <si>
    <t>PROGRAMME 01</t>
  </si>
  <si>
    <t>👉 RÈGLES DU BAC A : CUVES DU CALCIUM</t>
  </si>
  <si>
    <t>Produit (Réf Base)</t>
  </si>
  <si>
    <t>Dose / Ha / App</t>
  </si>
  <si>
    <t>Apps / Semaine</t>
  </si>
  <si>
    <t>Dose TOTALE Hebdo</t>
  </si>
  <si>
    <t>Montant Total Hebdo</t>
  </si>
  <si>
    <t>Eau Min (L)</t>
  </si>
  <si>
    <t>Temps dissolution</t>
  </si>
  <si>
    <t>Note Logistique</t>
  </si>
  <si>
    <t>👉 RÈGLES DU BAC B : CUVE ÉNERGIE &amp; MACRO-ÉLÉMENTS</t>
  </si>
  <si>
    <t>👉 RÈGLES DU BAC C : OLIGO-ÉLÉMENTS, ACIDE HUMIQUE</t>
  </si>
  <si>
    <t>👉 RÈGLES DU BAC D (SÉPARÉ) : ACIDES DE NETTOYAGE</t>
  </si>
  <si>
    <t>PROGRAMME 02</t>
  </si>
  <si>
    <t>TOTAL FERTIGATION :</t>
  </si>
  <si>
    <t>🍃 PROGRAMME DE PULVÉRISATION FOLIAIRE &amp; BIOSTIMULANTS</t>
  </si>
  <si>
    <t>Produit Sélectionné</t>
  </si>
  <si>
    <t>Dose Réf</t>
  </si>
  <si>
    <t>Hectares</t>
  </si>
  <si>
    <t>Dose Totale</t>
  </si>
  <si>
    <t>Coût Total</t>
  </si>
  <si>
    <t>Note Technique</t>
  </si>
  <si>
    <t>Cible</t>
  </si>
  <si>
    <t>TOTAL PULVÉRISATION :</t>
  </si>
  <si>
    <t>🛡️ PROGRAMME DE TRAITEMENT PHYTOSANITAIRE</t>
  </si>
  <si>
    <t>Spécialité Commerciale</t>
  </si>
  <si>
    <t>Dose Ha</t>
  </si>
  <si>
    <t>DAR</t>
  </si>
  <si>
    <t>Matière Active</t>
  </si>
  <si>
    <t>Note</t>
  </si>
  <si>
    <t>TOTAL PHYTOSANITAIRE :</t>
  </si>
  <si>
    <t>PROGRAMME DE PRÉCISION DOUBLE - POMMIER : POMMIER 1</t>
  </si>
  <si>
    <t>Pommier : Pommier 1</t>
  </si>
  <si>
    <t>PROGRAMME DE PRÉCISION DOUBLE - NECTARINE / POMMIER</t>
  </si>
  <si>
    <t>2026-03-17</t>
  </si>
  <si>
    <t>2026-04-01</t>
  </si>
  <si>
    <t>2026-04-20</t>
  </si>
  <si>
    <t>Emamectine Benzoate</t>
  </si>
  <si>
    <t>2026-05-06</t>
  </si>
  <si>
    <t>Deltaméthrine + Acetamipride</t>
  </si>
  <si>
    <t>Abamectine + Spirotetramat</t>
  </si>
  <si>
    <t>PROGRAMME DE PRÉCISION DOUBLE - OLIVIER : PARCELLE 1</t>
  </si>
  <si>
    <t>PROGRAMME DE PRÉCISION DOUBLE - NECTARINE : REDEX 25</t>
  </si>
  <si>
    <t>2026-05-28</t>
  </si>
  <si>
    <t>Fluxapyroxad</t>
  </si>
  <si>
    <t>Pommier : Pommier 1 et 2</t>
  </si>
  <si>
    <t>Nectarine : Nablara et REDIX® 25</t>
  </si>
  <si>
    <t>PROGRAMME DE PRÉCISION DOUBLE - NECTARINE : NABLARA et REDIX® 25</t>
  </si>
  <si>
    <t>Oliviers Parcelle (1 a 4)</t>
  </si>
  <si>
    <t>Nectarine : REDIX® 25</t>
  </si>
  <si>
    <t>Nectarine : Nablara</t>
  </si>
  <si>
    <t>PROGRAMME DE PRÉCISION DOUBLE - NECTARINE : NABLARA</t>
  </si>
  <si>
    <t>RÉSUMÉ GLOBAL PAR FOURNISSEUR</t>
  </si>
  <si>
    <t>Montant Total (DA)</t>
  </si>
  <si>
    <t>Pourcentage</t>
  </si>
  <si>
    <t>TOTAL GLOBAL</t>
  </si>
  <si>
    <t>RÉSUMÉ GLOBAL DES COÛTS PAR ESPÈCE</t>
  </si>
  <si>
    <t>ESPÈCE : NECTARINE</t>
  </si>
  <si>
    <t>Programme / Date</t>
  </si>
  <si>
    <t>Fertigation (DA)</t>
  </si>
  <si>
    <t>Pulvérisation (DA)</t>
  </si>
  <si>
    <t>Phytosanitaire (DA)</t>
  </si>
  <si>
    <t>Coût Total (DA)</t>
  </si>
  <si>
    <t>09 Mars Nectarine</t>
  </si>
  <si>
    <t>01 Avril Nectarine</t>
  </si>
  <si>
    <t>20 Avril Nectarine</t>
  </si>
  <si>
    <t>06 Mai Nectarine</t>
  </si>
  <si>
    <t>28 Mai Nectarine 2</t>
  </si>
  <si>
    <t>SOUS-TOTAL NECTARINE</t>
  </si>
  <si>
    <t>ESPÈCE : POMMIER</t>
  </si>
  <si>
    <t>09 Mars Pommier</t>
  </si>
  <si>
    <t>01 Avril Pommier</t>
  </si>
  <si>
    <t>06 Mai Pommier</t>
  </si>
  <si>
    <t>28 Mai Pommier</t>
  </si>
  <si>
    <t>SOUS-TOTAL POMMIER</t>
  </si>
  <si>
    <t>ESPÈCE : OLIVIER</t>
  </si>
  <si>
    <t>17 Mars Olivier</t>
  </si>
  <si>
    <t>06 Mai Olivier</t>
  </si>
  <si>
    <t>28 Mai Olivier</t>
  </si>
  <si>
    <t>SOUS-TOTAL OLIVIER</t>
  </si>
  <si>
    <t>COÛT GLOBAL DE TOUS LES PROGRAMMES :</t>
  </si>
  <si>
    <t>09h35 - 09h50 (15 min)</t>
  </si>
  <si>
    <t>08h50 - 09h35 (45 min)</t>
  </si>
  <si>
    <t>08h20 - 08h50 (30 min)</t>
  </si>
  <si>
    <t>🫒 Casuarina</t>
  </si>
  <si>
    <t>⏳ Pause Technique / Basculement Vannes : 08h10 - 08h20 (10 min)</t>
  </si>
  <si>
    <t>07h55 - 08h10 (15 min)</t>
  </si>
  <si>
    <t>07h10 - 07h55 (45 min)</t>
  </si>
  <si>
    <t>06h40 - 07h10 (30 min)</t>
  </si>
  <si>
    <t>🫒 Oliviers : Parcelles 3 et 4</t>
  </si>
  <si>
    <t>⏳ Pause Technique / Basculement Vannes : 06h30 - 06h40 (10 min)</t>
  </si>
  <si>
    <t>06h15 - 06h30 (15 min)</t>
  </si>
  <si>
    <t>05h30 - 06h15 (45 min)</t>
  </si>
  <si>
    <t>05h00 - 05h30 (30 min)</t>
  </si>
  <si>
    <t>🫒 Oliviers : Parcelles 1 et 2</t>
  </si>
  <si>
    <t>JOUR 2 : Oliviers (Départ 05h00)</t>
  </si>
  <si>
    <t>🍏 Pommiers : Parcelles 1 et 2</t>
  </si>
  <si>
    <t>🍑 Nectarines : REDIX® 25</t>
  </si>
  <si>
    <t>🍑 Nectarines : Nabara</t>
  </si>
  <si>
    <t>JOUR 1 : Nectarines &amp; Pommiers (Départ 05h00)</t>
  </si>
  <si>
    <t>Durée Minutes</t>
  </si>
  <si>
    <t>Heure Fin</t>
  </si>
  <si>
    <t>🚿 Rinçage Réseau</t>
  </si>
  <si>
    <t>🧪 Injection Bacs (Programme)</t>
  </si>
  <si>
    <t>💧 Pré-mouillage</t>
  </si>
  <si>
    <t>Heure Début</t>
  </si>
  <si>
    <t>Parcelle / Bloc</t>
  </si>
  <si>
    <t>📅 PÉRIODE : MARS À MI-MAI</t>
  </si>
  <si>
    <t>Règle du cycle en vigueur : Total 1h30 par bloc (30m eau + 45m engrais + 15m lavage)</t>
  </si>
  <si>
    <t>PLANNING D'IRRIGATION SÉQUENTIEL (VINCENT) - CYCLE DE PRINTEMPS (MARS - MI-MAI)</t>
  </si>
  <si>
    <t>10h35 - 10h50 (15 min)</t>
  </si>
  <si>
    <t>09h50 - 10h35 (45 min)</t>
  </si>
  <si>
    <t>05h40 - 07h10 (1h30)</t>
  </si>
  <si>
    <t>⏳ Pause Technique / Basculement Vannes : 05h30 - 05h40 (10 min)</t>
  </si>
  <si>
    <t>05h15 - 05h30 (15 min)</t>
  </si>
  <si>
    <t>04h30 - 05h15 (45 min)</t>
  </si>
  <si>
    <t>03h00 - 04h30 (1h30)</t>
  </si>
  <si>
    <t>JOUR 2 : Oliviers (Départ 03h00)</t>
  </si>
  <si>
    <t>08h20 - 09h50 (1h30)</t>
  </si>
  <si>
    <t>JOUR 1 : Nectarines &amp; Pommiers (Départ 03h00)</t>
  </si>
  <si>
    <t>📅 PÉRIODE : À PARTIR DU 28 MAI &amp; JUIN</t>
  </si>
  <si>
    <t>Règle du cycle en vigueur : Total 2h30 par bloc (1h30 eau + 45m engrais + 15m lavage)</t>
  </si>
  <si>
    <t>PLANNING D'IRRIGATION SÉQUENTIEL (VINCENT) - CYCLE D'ÉTÉ (À PARTIR DU 28 MAI &amp; JUIN)</t>
  </si>
  <si>
    <t>28 Mai Nectarine REDEX 25</t>
  </si>
  <si>
    <t>2 à 2 L / ha</t>
  </si>
  <si>
    <t>14 Jours</t>
  </si>
  <si>
    <t>14 - 21 Jours</t>
  </si>
  <si>
    <t>13 Jours</t>
  </si>
  <si>
    <t>3 - 7 j</t>
  </si>
  <si>
    <t>30 Jours</t>
  </si>
  <si>
    <t>7 Jours</t>
  </si>
  <si>
    <t>Numéros Prog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</si>
</sst>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h:mm;@"/>
  </numFmts>
  <fonts count="1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5"/>
      <color rgb="FF1F497D"/>
      <name val="Arial"/>
    </font>
    <font>
      <b/>
      <sz val="10"/>
      <name val="Arial"/>
    </font>
    <font>
      <b/>
      <sz val="13"/>
      <color rgb="FFFFFFFF"/>
      <name val="Arial"/>
    </font>
    <font>
      <b/>
      <sz val="11"/>
      <color rgb="FF1F497D"/>
      <name val="Arial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Arial"/>
    </font>
    <font>
      <b/>
      <sz val="11"/>
      <name val="Arial"/>
    </font>
    <font>
      <sz val="11"/>
      <name val="Arial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b/>
      <sz val="12"/>
      <color rgb="FFFFFFFF"/>
      <name val="Arial"/>
      <family val="2"/>
    </font>
    <font>
      <b/>
      <sz val="15"/>
      <color rgb="FF1F497D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9FAFB"/>
        <bgColor rgb="FFF9FAFB"/>
      </patternFill>
    </fill>
    <fill>
      <patternFill patternType="solid">
        <fgColor rgb="FFDCE6F1"/>
        <bgColor rgb="FFDCE6F1"/>
      </patternFill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  <fill>
      <patternFill patternType="solid">
        <fgColor rgb="FFE9EDF4"/>
        <bgColor rgb="FFE9EDF4"/>
      </patternFill>
    </fill>
    <fill>
      <patternFill patternType="solid">
        <fgColor rgb="FF548235"/>
        <bgColor rgb="FF548235"/>
      </patternFill>
    </fill>
    <fill>
      <patternFill patternType="solid">
        <fgColor rgb="FF375623"/>
        <bgColor rgb="FF375623"/>
      </patternFill>
    </fill>
    <fill>
      <patternFill patternType="solid">
        <fgColor rgb="FFC65911"/>
        <bgColor rgb="FFC65911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C6E0B4"/>
        <bgColor rgb="FFC6E0B4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1F497D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8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5" borderId="0" xfId="0" applyFill="1"/>
    <xf numFmtId="0" fontId="4" fillId="0" borderId="0" xfId="0" applyFont="1"/>
    <xf numFmtId="0" fontId="0" fillId="0" borderId="1" xfId="0" applyBorder="1"/>
    <xf numFmtId="0" fontId="0" fillId="5" borderId="1" xfId="0" applyFill="1" applyBorder="1"/>
    <xf numFmtId="0" fontId="4" fillId="0" borderId="0" xfId="0" applyFont="1" applyAlignment="1">
      <alignment horizontal="right" vertical="center"/>
    </xf>
    <xf numFmtId="0" fontId="4" fillId="5" borderId="2" xfId="0" applyFont="1" applyFill="1" applyBorder="1" applyAlignment="1">
      <alignment horizontal="right" vertical="center"/>
    </xf>
    <xf numFmtId="0" fontId="1" fillId="9" borderId="0" xfId="0" applyFont="1" applyFill="1" applyAlignment="1">
      <alignment horizontal="center" vertical="center"/>
    </xf>
    <xf numFmtId="0" fontId="4" fillId="5" borderId="2" xfId="0" applyFont="1" applyFill="1" applyBorder="1"/>
    <xf numFmtId="0" fontId="1" fillId="1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3" fontId="1" fillId="2" borderId="0" xfId="1" applyFont="1" applyFill="1" applyAlignment="1">
      <alignment horizontal="center" vertical="center" wrapText="1"/>
    </xf>
    <xf numFmtId="43" fontId="2" fillId="0" borderId="1" xfId="1" applyFont="1" applyBorder="1" applyAlignment="1">
      <alignment horizontal="right" vertical="center"/>
    </xf>
    <xf numFmtId="43" fontId="2" fillId="3" borderId="1" xfId="1" applyFont="1" applyFill="1" applyBorder="1" applyAlignment="1">
      <alignment horizontal="right" vertical="center"/>
    </xf>
    <xf numFmtId="43" fontId="0" fillId="0" borderId="0" xfId="1" applyFont="1"/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5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43" fontId="1" fillId="2" borderId="0" xfId="1" applyFont="1" applyFill="1" applyAlignment="1">
      <alignment horizontal="center" vertical="center"/>
    </xf>
    <xf numFmtId="43" fontId="0" fillId="0" borderId="1" xfId="1" applyFont="1" applyBorder="1"/>
    <xf numFmtId="43" fontId="4" fillId="0" borderId="0" xfId="1" applyFont="1" applyAlignment="1">
      <alignment horizontal="right" vertical="center"/>
    </xf>
    <xf numFmtId="43" fontId="4" fillId="5" borderId="2" xfId="1" applyFont="1" applyFill="1" applyBorder="1" applyAlignment="1">
      <alignment horizontal="right" vertical="center"/>
    </xf>
    <xf numFmtId="43" fontId="1" fillId="9" borderId="0" xfId="1" applyFont="1" applyFill="1" applyAlignment="1">
      <alignment horizontal="center" vertical="center"/>
    </xf>
    <xf numFmtId="43" fontId="4" fillId="5" borderId="2" xfId="1" applyFont="1" applyFill="1" applyBorder="1"/>
    <xf numFmtId="43" fontId="1" fillId="10" borderId="0" xfId="1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0" borderId="1" xfId="0" applyFont="1" applyBorder="1"/>
    <xf numFmtId="10" fontId="0" fillId="0" borderId="1" xfId="0" applyNumberFormat="1" applyBorder="1"/>
    <xf numFmtId="0" fontId="10" fillId="11" borderId="1" xfId="0" applyFont="1" applyFill="1" applyBorder="1"/>
    <xf numFmtId="10" fontId="0" fillId="11" borderId="1" xfId="0" applyNumberFormat="1" applyFill="1" applyBorder="1"/>
    <xf numFmtId="43" fontId="9" fillId="2" borderId="0" xfId="1" applyFont="1" applyFill="1" applyAlignment="1">
      <alignment horizontal="center" vertical="center"/>
    </xf>
    <xf numFmtId="43" fontId="11" fillId="0" borderId="1" xfId="1" applyFont="1" applyBorder="1"/>
    <xf numFmtId="43" fontId="10" fillId="0" borderId="1" xfId="1" applyFont="1" applyBorder="1"/>
    <xf numFmtId="43" fontId="10" fillId="11" borderId="1" xfId="1" applyFont="1" applyFill="1" applyBorder="1"/>
    <xf numFmtId="43" fontId="3" fillId="0" borderId="0" xfId="1" applyFont="1"/>
    <xf numFmtId="0" fontId="12" fillId="0" borderId="0" xfId="0" applyFont="1"/>
    <xf numFmtId="164" fontId="0" fillId="0" borderId="0" xfId="0" applyNumberFormat="1"/>
    <xf numFmtId="20" fontId="0" fillId="0" borderId="0" xfId="0" applyNumberFormat="1"/>
    <xf numFmtId="0" fontId="13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4" fillId="16" borderId="1" xfId="0" applyFont="1" applyFill="1" applyBorder="1" applyAlignment="1">
      <alignment horizontal="center" vertical="center"/>
    </xf>
    <xf numFmtId="164" fontId="14" fillId="16" borderId="1" xfId="0" applyNumberFormat="1" applyFont="1" applyFill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43" fontId="2" fillId="3" borderId="1" xfId="1" applyFont="1" applyFill="1" applyBorder="1" applyAlignment="1">
      <alignment horizontal="center" vertical="center"/>
    </xf>
    <xf numFmtId="43" fontId="0" fillId="0" borderId="0" xfId="1" applyFont="1" applyAlignment="1">
      <alignment horizontal="center"/>
    </xf>
    <xf numFmtId="0" fontId="6" fillId="0" borderId="0" xfId="0" applyFont="1"/>
    <xf numFmtId="0" fontId="0" fillId="0" borderId="0" xfId="0"/>
    <xf numFmtId="0" fontId="6" fillId="7" borderId="0" xfId="0" applyFont="1" applyFill="1"/>
    <xf numFmtId="0" fontId="5" fillId="6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15" fillId="16" borderId="4" xfId="0" applyFont="1" applyFill="1" applyBorder="1" applyAlignment="1">
      <alignment horizontal="center" vertical="center"/>
    </xf>
    <xf numFmtId="0" fontId="15" fillId="16" borderId="3" xfId="0" applyFont="1" applyFill="1" applyBorder="1" applyAlignment="1">
      <alignment horizontal="center" vertical="center"/>
    </xf>
    <xf numFmtId="0" fontId="14" fillId="13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1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43" fontId="3" fillId="4" borderId="0" xfId="1" applyFont="1" applyFill="1" applyAlignment="1">
      <alignment horizontal="center" vertical="center"/>
    </xf>
    <xf numFmtId="43" fontId="0" fillId="0" borderId="0" xfId="1" applyFont="1"/>
    <xf numFmtId="43" fontId="3" fillId="12" borderId="0" xfId="1" applyFont="1" applyFill="1" applyAlignment="1">
      <alignment horizontal="center" vertical="center"/>
    </xf>
    <xf numFmtId="43" fontId="3" fillId="13" borderId="0" xfId="1" applyFont="1" applyFill="1" applyAlignment="1">
      <alignment horizontal="center" vertical="center"/>
    </xf>
    <xf numFmtId="43" fontId="3" fillId="5" borderId="0" xfId="1" applyFont="1" applyFill="1" applyAlignment="1">
      <alignment horizontal="center" vertical="center"/>
    </xf>
    <xf numFmtId="43" fontId="3" fillId="0" borderId="0" xfId="1" applyFont="1" applyAlignment="1">
      <alignment horizontal="right" vertical="center"/>
    </xf>
    <xf numFmtId="0" fontId="0" fillId="0" borderId="0" xfId="1" applyNumberFormat="1" applyFont="1" applyAlignment="1">
      <alignment horizontal="center"/>
    </xf>
    <xf numFmtId="0" fontId="0" fillId="0" borderId="0" xfId="1" applyNumberFormat="1" applyFont="1" applyAlignment="1">
      <alignment horizont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F99F1-03C8-4DAE-82D5-4F5776CD6BFF}">
  <dimension ref="A1:G20"/>
  <sheetViews>
    <sheetView tabSelected="1" workbookViewId="0">
      <selection activeCell="C18" sqref="C18"/>
    </sheetView>
  </sheetViews>
  <sheetFormatPr baseColWidth="10" defaultColWidth="8.7265625" defaultRowHeight="14.5" x14ac:dyDescent="0.35"/>
  <cols>
    <col min="1" max="1" width="45" customWidth="1"/>
    <col min="2" max="2" width="15" style="50" customWidth="1"/>
    <col min="3" max="3" width="25" customWidth="1"/>
    <col min="4" max="4" width="30" customWidth="1"/>
    <col min="5" max="5" width="22" customWidth="1"/>
    <col min="6" max="6" width="15" style="50" customWidth="1"/>
    <col min="7" max="7" width="15" customWidth="1"/>
  </cols>
  <sheetData>
    <row r="1" spans="1:7" ht="30" customHeight="1" x14ac:dyDescent="0.35">
      <c r="A1" s="73" t="s">
        <v>284</v>
      </c>
      <c r="B1" s="65"/>
      <c r="C1" s="65"/>
      <c r="D1" s="65"/>
      <c r="E1" s="65"/>
      <c r="F1" s="65"/>
      <c r="G1" s="65"/>
    </row>
    <row r="3" spans="1:7" x14ac:dyDescent="0.35">
      <c r="A3" s="74" t="s">
        <v>283</v>
      </c>
      <c r="B3" s="65"/>
      <c r="C3" s="65"/>
      <c r="D3" s="65"/>
      <c r="E3" s="65"/>
      <c r="F3" s="65"/>
      <c r="G3" s="65"/>
    </row>
    <row r="5" spans="1:7" ht="15.5" x14ac:dyDescent="0.35">
      <c r="A5" s="76" t="s">
        <v>282</v>
      </c>
      <c r="B5" s="65"/>
      <c r="C5" s="65"/>
      <c r="D5" s="65"/>
      <c r="E5" s="65"/>
      <c r="F5" s="65"/>
      <c r="G5" s="65"/>
    </row>
    <row r="6" spans="1:7" x14ac:dyDescent="0.35">
      <c r="A6" s="59" t="s">
        <v>281</v>
      </c>
      <c r="B6" s="60" t="s">
        <v>280</v>
      </c>
      <c r="C6" s="59" t="s">
        <v>279</v>
      </c>
      <c r="D6" s="59" t="s">
        <v>278</v>
      </c>
      <c r="E6" s="59" t="s">
        <v>277</v>
      </c>
      <c r="F6" s="60" t="s">
        <v>276</v>
      </c>
      <c r="G6" s="59" t="s">
        <v>275</v>
      </c>
    </row>
    <row r="7" spans="1:7" x14ac:dyDescent="0.35">
      <c r="A7" s="75" t="s">
        <v>274</v>
      </c>
      <c r="B7" s="65"/>
      <c r="C7" s="65"/>
      <c r="D7" s="65"/>
      <c r="E7" s="65"/>
      <c r="F7" s="65"/>
      <c r="G7" s="65"/>
    </row>
    <row r="8" spans="1:7" x14ac:dyDescent="0.35">
      <c r="A8" s="58" t="s">
        <v>273</v>
      </c>
      <c r="B8" s="57">
        <v>0.20833333333333334</v>
      </c>
      <c r="C8" s="56" t="s">
        <v>268</v>
      </c>
      <c r="D8" s="55" t="s">
        <v>267</v>
      </c>
      <c r="E8" s="54" t="s">
        <v>266</v>
      </c>
      <c r="F8" s="53">
        <f>B8+G8/1440</f>
        <v>0.27083333333333337</v>
      </c>
      <c r="G8" s="52">
        <v>90</v>
      </c>
    </row>
    <row r="9" spans="1:7" x14ac:dyDescent="0.35">
      <c r="A9" s="70" t="s">
        <v>265</v>
      </c>
      <c r="B9" s="71"/>
      <c r="C9" s="71"/>
      <c r="D9" s="71"/>
      <c r="E9" s="71"/>
      <c r="F9" s="71"/>
      <c r="G9" s="52">
        <v>10</v>
      </c>
    </row>
    <row r="10" spans="1:7" x14ac:dyDescent="0.35">
      <c r="A10" s="58" t="s">
        <v>272</v>
      </c>
      <c r="B10" s="57">
        <f>F8+G9/1440</f>
        <v>0.27777777777777779</v>
      </c>
      <c r="C10" s="56" t="s">
        <v>263</v>
      </c>
      <c r="D10" s="55" t="s">
        <v>262</v>
      </c>
      <c r="E10" s="54" t="s">
        <v>261</v>
      </c>
      <c r="F10" s="53">
        <f>B10+G10/1440</f>
        <v>0.34027777777777779</v>
      </c>
      <c r="G10" s="52">
        <v>90</v>
      </c>
    </row>
    <row r="11" spans="1:7" x14ac:dyDescent="0.35">
      <c r="A11" s="70" t="s">
        <v>260</v>
      </c>
      <c r="B11" s="71"/>
      <c r="C11" s="71"/>
      <c r="D11" s="71"/>
      <c r="E11" s="71"/>
      <c r="F11" s="71"/>
      <c r="G11" s="52">
        <v>10</v>
      </c>
    </row>
    <row r="12" spans="1:7" x14ac:dyDescent="0.35">
      <c r="A12" s="58" t="s">
        <v>271</v>
      </c>
      <c r="B12" s="57">
        <f>F10+G11/1440</f>
        <v>0.34722222222222221</v>
      </c>
      <c r="C12" s="56" t="s">
        <v>258</v>
      </c>
      <c r="D12" s="55" t="s">
        <v>257</v>
      </c>
      <c r="E12" s="54" t="s">
        <v>256</v>
      </c>
      <c r="F12" s="53">
        <f>B12+G12/1440</f>
        <v>0.40972222222222221</v>
      </c>
      <c r="G12" s="52">
        <v>90</v>
      </c>
    </row>
    <row r="13" spans="1:7" x14ac:dyDescent="0.35">
      <c r="A13" s="72" t="s">
        <v>270</v>
      </c>
      <c r="B13" s="65"/>
      <c r="C13" s="65"/>
      <c r="D13" s="65"/>
      <c r="E13" s="65"/>
      <c r="F13" s="65"/>
      <c r="G13" s="65"/>
    </row>
    <row r="14" spans="1:7" x14ac:dyDescent="0.35">
      <c r="A14" s="58" t="s">
        <v>269</v>
      </c>
      <c r="B14" s="57">
        <v>0.20833333333333334</v>
      </c>
      <c r="C14" s="56" t="s">
        <v>268</v>
      </c>
      <c r="D14" s="55" t="s">
        <v>267</v>
      </c>
      <c r="E14" s="54" t="s">
        <v>266</v>
      </c>
      <c r="F14" s="53">
        <f>B14+G14/1440</f>
        <v>0.27083333333333337</v>
      </c>
      <c r="G14" s="52">
        <v>90</v>
      </c>
    </row>
    <row r="15" spans="1:7" x14ac:dyDescent="0.35">
      <c r="A15" s="70" t="s">
        <v>265</v>
      </c>
      <c r="B15" s="71"/>
      <c r="C15" s="71"/>
      <c r="D15" s="71"/>
      <c r="E15" s="71"/>
      <c r="F15" s="71"/>
      <c r="G15" s="52">
        <v>10</v>
      </c>
    </row>
    <row r="16" spans="1:7" x14ac:dyDescent="0.35">
      <c r="A16" s="58" t="s">
        <v>264</v>
      </c>
      <c r="B16" s="57">
        <f>F14+G15/1440</f>
        <v>0.27777777777777779</v>
      </c>
      <c r="C16" s="56" t="s">
        <v>263</v>
      </c>
      <c r="D16" s="55" t="s">
        <v>262</v>
      </c>
      <c r="E16" s="54" t="s">
        <v>261</v>
      </c>
      <c r="F16" s="53">
        <f>B16+G16/1440</f>
        <v>0.34027777777777779</v>
      </c>
      <c r="G16" s="52">
        <v>90</v>
      </c>
    </row>
    <row r="17" spans="1:7" x14ac:dyDescent="0.35">
      <c r="A17" s="70" t="s">
        <v>260</v>
      </c>
      <c r="B17" s="71"/>
      <c r="C17" s="71"/>
      <c r="D17" s="71"/>
      <c r="E17" s="71"/>
      <c r="F17" s="71"/>
      <c r="G17" s="52">
        <v>10</v>
      </c>
    </row>
    <row r="18" spans="1:7" x14ac:dyDescent="0.35">
      <c r="A18" s="58" t="s">
        <v>259</v>
      </c>
      <c r="B18" s="57">
        <f>F16+G17/1440</f>
        <v>0.34722222222222221</v>
      </c>
      <c r="C18" s="56" t="s">
        <v>258</v>
      </c>
      <c r="D18" s="55" t="s">
        <v>257</v>
      </c>
      <c r="E18" s="54" t="s">
        <v>256</v>
      </c>
      <c r="F18" s="53">
        <f>B18+G18/1440</f>
        <v>0.40972222222222221</v>
      </c>
      <c r="G18" s="52">
        <v>90</v>
      </c>
    </row>
    <row r="20" spans="1:7" x14ac:dyDescent="0.35">
      <c r="C20" s="51"/>
      <c r="D20" s="51"/>
      <c r="E20" s="51"/>
    </row>
  </sheetData>
  <mergeCells count="9">
    <mergeCell ref="A11:F11"/>
    <mergeCell ref="A15:F15"/>
    <mergeCell ref="A17:F17"/>
    <mergeCell ref="A13:G13"/>
    <mergeCell ref="A1:G1"/>
    <mergeCell ref="A3:G3"/>
    <mergeCell ref="A7:G7"/>
    <mergeCell ref="A5:G5"/>
    <mergeCell ref="A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A87FC-88F3-43BC-B5D4-4A40C1AE4F94}">
  <dimension ref="A1:G20"/>
  <sheetViews>
    <sheetView topLeftCell="C1" workbookViewId="0">
      <selection activeCell="D22" sqref="D22"/>
    </sheetView>
  </sheetViews>
  <sheetFormatPr baseColWidth="10" defaultColWidth="8.7265625" defaultRowHeight="14.5" x14ac:dyDescent="0.35"/>
  <cols>
    <col min="1" max="1" width="45" customWidth="1"/>
    <col min="2" max="2" width="15" style="50" customWidth="1"/>
    <col min="3" max="3" width="25" customWidth="1"/>
    <col min="4" max="4" width="30" customWidth="1"/>
    <col min="5" max="5" width="22" customWidth="1"/>
    <col min="6" max="6" width="15" style="50" customWidth="1"/>
    <col min="7" max="7" width="15" customWidth="1"/>
  </cols>
  <sheetData>
    <row r="1" spans="1:7" ht="30" customHeight="1" x14ac:dyDescent="0.35">
      <c r="A1" s="73" t="s">
        <v>297</v>
      </c>
      <c r="B1" s="65"/>
      <c r="C1" s="65"/>
      <c r="D1" s="65"/>
      <c r="E1" s="65"/>
      <c r="F1" s="65"/>
      <c r="G1" s="65"/>
    </row>
    <row r="3" spans="1:7" x14ac:dyDescent="0.35">
      <c r="A3" s="74" t="s">
        <v>296</v>
      </c>
      <c r="B3" s="65"/>
      <c r="C3" s="65"/>
      <c r="D3" s="65"/>
      <c r="E3" s="65"/>
      <c r="F3" s="65"/>
      <c r="G3" s="65"/>
    </row>
    <row r="5" spans="1:7" ht="15.5" x14ac:dyDescent="0.35">
      <c r="A5" s="76" t="s">
        <v>295</v>
      </c>
      <c r="B5" s="65"/>
      <c r="C5" s="65"/>
      <c r="D5" s="65"/>
      <c r="E5" s="65"/>
      <c r="F5" s="65"/>
      <c r="G5" s="65"/>
    </row>
    <row r="6" spans="1:7" x14ac:dyDescent="0.35">
      <c r="A6" s="59" t="s">
        <v>281</v>
      </c>
      <c r="B6" s="60" t="s">
        <v>280</v>
      </c>
      <c r="C6" s="59" t="s">
        <v>279</v>
      </c>
      <c r="D6" s="59" t="s">
        <v>278</v>
      </c>
      <c r="E6" s="59" t="s">
        <v>277</v>
      </c>
      <c r="F6" s="60" t="s">
        <v>276</v>
      </c>
      <c r="G6" s="59" t="s">
        <v>275</v>
      </c>
    </row>
    <row r="7" spans="1:7" x14ac:dyDescent="0.35">
      <c r="A7" s="75" t="s">
        <v>294</v>
      </c>
      <c r="B7" s="65"/>
      <c r="C7" s="65"/>
      <c r="D7" s="65"/>
      <c r="E7" s="65"/>
      <c r="F7" s="65"/>
      <c r="G7" s="65"/>
    </row>
    <row r="8" spans="1:7" x14ac:dyDescent="0.35">
      <c r="A8" s="58" t="s">
        <v>273</v>
      </c>
      <c r="B8" s="57">
        <v>0.125</v>
      </c>
      <c r="C8" s="56" t="s">
        <v>291</v>
      </c>
      <c r="D8" s="55" t="s">
        <v>290</v>
      </c>
      <c r="E8" s="54" t="s">
        <v>289</v>
      </c>
      <c r="F8" s="53">
        <f>B8+G8/1440</f>
        <v>0.22916666666666669</v>
      </c>
      <c r="G8" s="52">
        <v>150</v>
      </c>
    </row>
    <row r="9" spans="1:7" x14ac:dyDescent="0.35">
      <c r="A9" s="70" t="s">
        <v>288</v>
      </c>
      <c r="B9" s="71"/>
      <c r="C9" s="71"/>
      <c r="D9" s="71"/>
      <c r="E9" s="71"/>
      <c r="F9" s="71"/>
      <c r="G9" s="52">
        <v>10</v>
      </c>
    </row>
    <row r="10" spans="1:7" x14ac:dyDescent="0.35">
      <c r="A10" s="58" t="s">
        <v>272</v>
      </c>
      <c r="B10" s="57">
        <f>F8+G9/1440</f>
        <v>0.23611111111111113</v>
      </c>
      <c r="C10" s="56" t="s">
        <v>287</v>
      </c>
      <c r="D10" s="55" t="s">
        <v>262</v>
      </c>
      <c r="E10" s="54" t="s">
        <v>261</v>
      </c>
      <c r="F10" s="53">
        <f>B10+G10/1440</f>
        <v>0.34027777777777779</v>
      </c>
      <c r="G10" s="52">
        <v>150</v>
      </c>
    </row>
    <row r="11" spans="1:7" x14ac:dyDescent="0.35">
      <c r="A11" s="70" t="s">
        <v>260</v>
      </c>
      <c r="B11" s="71"/>
      <c r="C11" s="71"/>
      <c r="D11" s="71"/>
      <c r="E11" s="71"/>
      <c r="F11" s="71"/>
      <c r="G11" s="52">
        <v>10</v>
      </c>
    </row>
    <row r="12" spans="1:7" x14ac:dyDescent="0.35">
      <c r="A12" s="58" t="s">
        <v>271</v>
      </c>
      <c r="B12" s="57">
        <f>F10+G11/1440</f>
        <v>0.34722222222222221</v>
      </c>
      <c r="C12" s="56" t="s">
        <v>293</v>
      </c>
      <c r="D12" s="55" t="s">
        <v>286</v>
      </c>
      <c r="E12" s="54" t="s">
        <v>285</v>
      </c>
      <c r="F12" s="53">
        <f>B12+G12/1440</f>
        <v>0.4513888888888889</v>
      </c>
      <c r="G12" s="52">
        <v>150</v>
      </c>
    </row>
    <row r="13" spans="1:7" x14ac:dyDescent="0.35">
      <c r="A13" s="72" t="s">
        <v>292</v>
      </c>
      <c r="B13" s="65"/>
      <c r="C13" s="65"/>
      <c r="D13" s="65"/>
      <c r="E13" s="65"/>
      <c r="F13" s="65"/>
      <c r="G13" s="65"/>
    </row>
    <row r="14" spans="1:7" x14ac:dyDescent="0.35">
      <c r="A14" s="58" t="s">
        <v>269</v>
      </c>
      <c r="B14" s="57">
        <v>0.125</v>
      </c>
      <c r="C14" s="56" t="s">
        <v>291</v>
      </c>
      <c r="D14" s="55" t="s">
        <v>290</v>
      </c>
      <c r="E14" s="54" t="s">
        <v>289</v>
      </c>
      <c r="F14" s="53">
        <f>B14+G14/1440</f>
        <v>0.22916666666666669</v>
      </c>
      <c r="G14" s="52">
        <v>150</v>
      </c>
    </row>
    <row r="15" spans="1:7" x14ac:dyDescent="0.35">
      <c r="A15" s="70" t="s">
        <v>288</v>
      </c>
      <c r="B15" s="71"/>
      <c r="C15" s="71"/>
      <c r="D15" s="71"/>
      <c r="E15" s="71"/>
      <c r="F15" s="71"/>
      <c r="G15" s="52">
        <v>10</v>
      </c>
    </row>
    <row r="16" spans="1:7" x14ac:dyDescent="0.35">
      <c r="A16" s="58" t="s">
        <v>264</v>
      </c>
      <c r="B16" s="57">
        <f>F14+G15/1440</f>
        <v>0.23611111111111113</v>
      </c>
      <c r="C16" s="56" t="s">
        <v>287</v>
      </c>
      <c r="D16" s="55" t="s">
        <v>262</v>
      </c>
      <c r="E16" s="54" t="s">
        <v>261</v>
      </c>
      <c r="F16" s="53">
        <f>B16+G16/1440</f>
        <v>0.34027777777777779</v>
      </c>
      <c r="G16" s="52">
        <v>150</v>
      </c>
    </row>
    <row r="17" spans="1:7" x14ac:dyDescent="0.35">
      <c r="A17" s="70" t="s">
        <v>260</v>
      </c>
      <c r="B17" s="71"/>
      <c r="C17" s="71"/>
      <c r="D17" s="71"/>
      <c r="E17" s="71"/>
      <c r="F17" s="71"/>
      <c r="G17" s="52">
        <v>10</v>
      </c>
    </row>
    <row r="18" spans="1:7" x14ac:dyDescent="0.35">
      <c r="A18" s="58" t="s">
        <v>259</v>
      </c>
      <c r="B18" s="57">
        <f>F16+G17/1440</f>
        <v>0.34722222222222221</v>
      </c>
      <c r="C18" s="56" t="s">
        <v>293</v>
      </c>
      <c r="D18" s="55" t="s">
        <v>286</v>
      </c>
      <c r="E18" s="54" t="s">
        <v>285</v>
      </c>
      <c r="F18" s="53">
        <f>B18+G18/1440</f>
        <v>0.4513888888888889</v>
      </c>
      <c r="G18" s="52">
        <v>150</v>
      </c>
    </row>
    <row r="20" spans="1:7" x14ac:dyDescent="0.35">
      <c r="C20" s="51"/>
      <c r="D20" s="51"/>
      <c r="E20" s="51"/>
    </row>
  </sheetData>
  <mergeCells count="9">
    <mergeCell ref="A11:F11"/>
    <mergeCell ref="A15:F15"/>
    <mergeCell ref="A17:F17"/>
    <mergeCell ref="A13:G13"/>
    <mergeCell ref="A1:G1"/>
    <mergeCell ref="A3:G3"/>
    <mergeCell ref="A7:G7"/>
    <mergeCell ref="A5:G5"/>
    <mergeCell ref="A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opLeftCell="B1" zoomScale="80" zoomScaleNormal="80" workbookViewId="0">
      <pane ySplit="1" topLeftCell="A5" activePane="bottomLeft" state="frozen"/>
      <selection pane="bottomLeft" activeCell="E13" sqref="E13"/>
    </sheetView>
  </sheetViews>
  <sheetFormatPr baseColWidth="10" defaultColWidth="8.7265625" defaultRowHeight="14.5" x14ac:dyDescent="0.35"/>
  <cols>
    <col min="1" max="1" width="39.54296875" customWidth="1"/>
    <col min="2" max="2" width="17.453125" customWidth="1"/>
    <col min="3" max="3" width="16.26953125" style="17" customWidth="1"/>
    <col min="4" max="4" width="17.36328125" style="24" customWidth="1"/>
    <col min="5" max="5" width="46.1796875" customWidth="1"/>
    <col min="6" max="6" width="10.1796875" style="63" bestFit="1" customWidth="1"/>
    <col min="7" max="7" width="8.7265625" style="17"/>
    <col min="8" max="8" width="12.36328125" style="17" customWidth="1"/>
    <col min="9" max="9" width="8.7265625" style="17"/>
    <col min="10" max="10" width="12.453125" customWidth="1"/>
    <col min="11" max="11" width="9.1796875" style="21" bestFit="1" customWidth="1"/>
    <col min="12" max="12" width="12.1796875" style="21" customWidth="1"/>
  </cols>
  <sheetData>
    <row r="1" spans="1:12" s="14" customFormat="1" ht="39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8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8" t="s">
        <v>10</v>
      </c>
      <c r="L1" s="18" t="s">
        <v>11</v>
      </c>
    </row>
    <row r="2" spans="1:12" x14ac:dyDescent="0.35">
      <c r="A2" s="2" t="s">
        <v>12</v>
      </c>
      <c r="B2" s="2" t="s">
        <v>13</v>
      </c>
      <c r="C2" s="15" t="s">
        <v>14</v>
      </c>
      <c r="D2" s="22" t="s">
        <v>15</v>
      </c>
      <c r="E2" s="2" t="s">
        <v>16</v>
      </c>
      <c r="F2" s="61">
        <v>160</v>
      </c>
      <c r="G2" s="15" t="s">
        <v>17</v>
      </c>
      <c r="H2" s="15"/>
      <c r="I2" s="15"/>
      <c r="J2" s="2" t="s">
        <v>18</v>
      </c>
      <c r="K2" s="19">
        <v>400</v>
      </c>
      <c r="L2" s="19">
        <f>K2*F2</f>
        <v>64000</v>
      </c>
    </row>
    <row r="3" spans="1:12" x14ac:dyDescent="0.35">
      <c r="A3" s="3" t="s">
        <v>19</v>
      </c>
      <c r="B3" s="3" t="s">
        <v>20</v>
      </c>
      <c r="C3" s="16" t="s">
        <v>21</v>
      </c>
      <c r="D3" s="23" t="s">
        <v>22</v>
      </c>
      <c r="E3" s="3" t="s">
        <v>23</v>
      </c>
      <c r="F3" s="62">
        <v>45</v>
      </c>
      <c r="G3" s="16" t="s">
        <v>17</v>
      </c>
      <c r="H3" s="16"/>
      <c r="I3" s="16"/>
      <c r="J3" s="3" t="s">
        <v>18</v>
      </c>
      <c r="K3" s="20">
        <v>300</v>
      </c>
      <c r="L3" s="19">
        <f t="shared" ref="L3:L43" si="0">K3*F3</f>
        <v>13500</v>
      </c>
    </row>
    <row r="4" spans="1:12" x14ac:dyDescent="0.35">
      <c r="A4" s="2" t="s">
        <v>24</v>
      </c>
      <c r="B4" s="2" t="s">
        <v>20</v>
      </c>
      <c r="C4" s="15" t="s">
        <v>25</v>
      </c>
      <c r="D4" s="22" t="s">
        <v>26</v>
      </c>
      <c r="E4" s="2" t="s">
        <v>27</v>
      </c>
      <c r="F4" s="61">
        <v>26</v>
      </c>
      <c r="G4" s="15" t="s">
        <v>17</v>
      </c>
      <c r="H4" s="15"/>
      <c r="I4" s="15"/>
      <c r="J4" s="2" t="s">
        <v>18</v>
      </c>
      <c r="K4" s="19">
        <v>300</v>
      </c>
      <c r="L4" s="19">
        <f t="shared" si="0"/>
        <v>7800</v>
      </c>
    </row>
    <row r="5" spans="1:12" x14ac:dyDescent="0.35">
      <c r="A5" s="3" t="s">
        <v>28</v>
      </c>
      <c r="B5" s="3" t="s">
        <v>20</v>
      </c>
      <c r="C5" s="16" t="s">
        <v>29</v>
      </c>
      <c r="D5" s="23" t="s">
        <v>30</v>
      </c>
      <c r="E5" s="3" t="s">
        <v>31</v>
      </c>
      <c r="F5" s="62">
        <v>220</v>
      </c>
      <c r="G5" s="16" t="s">
        <v>17</v>
      </c>
      <c r="H5" s="16"/>
      <c r="I5" s="16"/>
      <c r="J5" s="3" t="s">
        <v>18</v>
      </c>
      <c r="K5" s="20">
        <v>1000</v>
      </c>
      <c r="L5" s="19">
        <f t="shared" si="0"/>
        <v>220000</v>
      </c>
    </row>
    <row r="6" spans="1:12" x14ac:dyDescent="0.35">
      <c r="A6" s="2" t="s">
        <v>32</v>
      </c>
      <c r="B6" s="2" t="s">
        <v>20</v>
      </c>
      <c r="C6" s="15" t="s">
        <v>33</v>
      </c>
      <c r="D6" s="22" t="s">
        <v>34</v>
      </c>
      <c r="E6" s="2" t="s">
        <v>35</v>
      </c>
      <c r="F6" s="61">
        <v>260</v>
      </c>
      <c r="G6" s="15" t="s">
        <v>17</v>
      </c>
      <c r="H6" s="15"/>
      <c r="I6" s="15"/>
      <c r="J6" s="2" t="s">
        <v>18</v>
      </c>
      <c r="K6" s="19">
        <v>150</v>
      </c>
      <c r="L6" s="19">
        <f t="shared" si="0"/>
        <v>39000</v>
      </c>
    </row>
    <row r="7" spans="1:12" x14ac:dyDescent="0.35">
      <c r="A7" s="3" t="s">
        <v>36</v>
      </c>
      <c r="B7" s="3" t="s">
        <v>20</v>
      </c>
      <c r="C7" s="16"/>
      <c r="D7" s="23"/>
      <c r="E7" s="3"/>
      <c r="F7" s="62">
        <v>240</v>
      </c>
      <c r="G7" s="16" t="s">
        <v>17</v>
      </c>
      <c r="H7" s="16"/>
      <c r="I7" s="16"/>
      <c r="J7" s="3" t="s">
        <v>18</v>
      </c>
      <c r="K7" s="20">
        <v>125</v>
      </c>
      <c r="L7" s="19">
        <f t="shared" si="0"/>
        <v>30000</v>
      </c>
    </row>
    <row r="8" spans="1:12" x14ac:dyDescent="0.35">
      <c r="A8" s="2" t="s">
        <v>37</v>
      </c>
      <c r="B8" s="2" t="s">
        <v>38</v>
      </c>
      <c r="C8" s="15" t="s">
        <v>39</v>
      </c>
      <c r="D8" s="22" t="s">
        <v>40</v>
      </c>
      <c r="E8" s="2" t="s">
        <v>41</v>
      </c>
      <c r="F8" s="61">
        <v>3450</v>
      </c>
      <c r="G8" s="15" t="s">
        <v>17</v>
      </c>
      <c r="H8" s="15"/>
      <c r="I8" s="15"/>
      <c r="J8" s="2" t="s">
        <v>18</v>
      </c>
      <c r="K8" s="19">
        <v>30</v>
      </c>
      <c r="L8" s="19">
        <f t="shared" si="0"/>
        <v>103500</v>
      </c>
    </row>
    <row r="9" spans="1:12" x14ac:dyDescent="0.35">
      <c r="A9" s="3" t="s">
        <v>42</v>
      </c>
      <c r="B9" s="3" t="s">
        <v>38</v>
      </c>
      <c r="C9" s="16" t="s">
        <v>43</v>
      </c>
      <c r="D9" s="23" t="s">
        <v>26</v>
      </c>
      <c r="E9" s="3" t="s">
        <v>44</v>
      </c>
      <c r="F9" s="62">
        <v>420</v>
      </c>
      <c r="G9" s="16" t="s">
        <v>45</v>
      </c>
      <c r="H9" s="16"/>
      <c r="I9" s="16"/>
      <c r="J9" s="3" t="s">
        <v>18</v>
      </c>
      <c r="K9" s="20">
        <v>20</v>
      </c>
      <c r="L9" s="19">
        <f t="shared" si="0"/>
        <v>8400</v>
      </c>
    </row>
    <row r="10" spans="1:12" x14ac:dyDescent="0.35">
      <c r="A10" s="2" t="s">
        <v>46</v>
      </c>
      <c r="B10" s="2" t="s">
        <v>38</v>
      </c>
      <c r="C10" s="15" t="s">
        <v>47</v>
      </c>
      <c r="D10" s="22" t="s">
        <v>34</v>
      </c>
      <c r="E10" s="2" t="s">
        <v>48</v>
      </c>
      <c r="F10" s="61">
        <v>3200</v>
      </c>
      <c r="G10" s="15" t="s">
        <v>17</v>
      </c>
      <c r="H10" s="15"/>
      <c r="I10" s="15"/>
      <c r="J10" s="2" t="s">
        <v>18</v>
      </c>
      <c r="K10" s="19">
        <v>30</v>
      </c>
      <c r="L10" s="19">
        <f t="shared" si="0"/>
        <v>96000</v>
      </c>
    </row>
    <row r="11" spans="1:12" x14ac:dyDescent="0.35">
      <c r="A11" s="3" t="s">
        <v>46</v>
      </c>
      <c r="B11" s="3" t="s">
        <v>38</v>
      </c>
      <c r="C11" s="15" t="s">
        <v>47</v>
      </c>
      <c r="D11" s="22" t="s">
        <v>34</v>
      </c>
      <c r="E11" s="3" t="s">
        <v>48</v>
      </c>
      <c r="F11" s="62">
        <v>2700</v>
      </c>
      <c r="G11" s="16" t="s">
        <v>17</v>
      </c>
      <c r="H11" s="16"/>
      <c r="I11" s="16"/>
      <c r="J11" s="3" t="s">
        <v>49</v>
      </c>
      <c r="K11" s="20">
        <v>1</v>
      </c>
      <c r="L11" s="19">
        <f t="shared" si="0"/>
        <v>2700</v>
      </c>
    </row>
    <row r="12" spans="1:12" x14ac:dyDescent="0.35">
      <c r="A12" s="2" t="s">
        <v>50</v>
      </c>
      <c r="B12" s="2" t="s">
        <v>38</v>
      </c>
      <c r="C12" s="15" t="s">
        <v>51</v>
      </c>
      <c r="D12" s="22" t="s">
        <v>52</v>
      </c>
      <c r="E12" s="2" t="s">
        <v>53</v>
      </c>
      <c r="F12" s="61">
        <v>2200</v>
      </c>
      <c r="G12" s="15" t="s">
        <v>45</v>
      </c>
      <c r="H12" s="15"/>
      <c r="I12" s="15"/>
      <c r="J12" s="2" t="s">
        <v>54</v>
      </c>
      <c r="K12" s="19">
        <v>10</v>
      </c>
      <c r="L12" s="19">
        <f t="shared" si="0"/>
        <v>22000</v>
      </c>
    </row>
    <row r="13" spans="1:12" x14ac:dyDescent="0.35">
      <c r="A13" s="3" t="s">
        <v>55</v>
      </c>
      <c r="B13" s="3" t="s">
        <v>56</v>
      </c>
      <c r="C13" s="16" t="s">
        <v>57</v>
      </c>
      <c r="D13" s="23" t="s">
        <v>58</v>
      </c>
      <c r="E13" s="3" t="s">
        <v>59</v>
      </c>
      <c r="F13" s="62">
        <v>378.15</v>
      </c>
      <c r="G13" s="16" t="s">
        <v>45</v>
      </c>
      <c r="H13" s="16"/>
      <c r="I13" s="16"/>
      <c r="J13" s="3" t="s">
        <v>18</v>
      </c>
      <c r="K13" s="20">
        <v>400</v>
      </c>
      <c r="L13" s="19">
        <f t="shared" si="0"/>
        <v>151260</v>
      </c>
    </row>
    <row r="14" spans="1:12" x14ac:dyDescent="0.35">
      <c r="A14" s="2" t="s">
        <v>60</v>
      </c>
      <c r="B14" s="3" t="s">
        <v>56</v>
      </c>
      <c r="C14" s="16">
        <v>5000</v>
      </c>
      <c r="D14" s="23" t="s">
        <v>58</v>
      </c>
      <c r="E14" s="3" t="s">
        <v>59</v>
      </c>
      <c r="F14" s="61">
        <v>177.31</v>
      </c>
      <c r="G14" s="15" t="s">
        <v>45</v>
      </c>
      <c r="H14" s="15"/>
      <c r="I14" s="15"/>
      <c r="J14" s="2" t="s">
        <v>61</v>
      </c>
      <c r="K14" s="19">
        <v>1</v>
      </c>
      <c r="L14" s="19">
        <f t="shared" si="0"/>
        <v>177.31</v>
      </c>
    </row>
    <row r="15" spans="1:12" x14ac:dyDescent="0.35">
      <c r="A15" s="3" t="s">
        <v>62</v>
      </c>
      <c r="B15" s="3" t="s">
        <v>56</v>
      </c>
      <c r="C15" s="15">
        <v>5000</v>
      </c>
      <c r="D15" s="22" t="s">
        <v>58</v>
      </c>
      <c r="E15" s="2" t="s">
        <v>64</v>
      </c>
      <c r="F15" s="62">
        <v>664</v>
      </c>
      <c r="G15" s="16" t="s">
        <v>45</v>
      </c>
      <c r="H15" s="16"/>
      <c r="I15" s="16"/>
      <c r="J15" s="3" t="s">
        <v>61</v>
      </c>
      <c r="K15" s="20">
        <v>1</v>
      </c>
      <c r="L15" s="19">
        <f t="shared" si="0"/>
        <v>664</v>
      </c>
    </row>
    <row r="16" spans="1:12" x14ac:dyDescent="0.35">
      <c r="A16" s="2" t="s">
        <v>63</v>
      </c>
      <c r="B16" s="2" t="s">
        <v>56</v>
      </c>
      <c r="C16" s="15" t="s">
        <v>57</v>
      </c>
      <c r="D16" s="22" t="s">
        <v>58</v>
      </c>
      <c r="E16" s="2" t="s">
        <v>64</v>
      </c>
      <c r="F16" s="61">
        <v>500</v>
      </c>
      <c r="G16" s="15" t="s">
        <v>45</v>
      </c>
      <c r="H16" s="15"/>
      <c r="I16" s="15"/>
      <c r="J16" s="2" t="s">
        <v>18</v>
      </c>
      <c r="K16" s="19">
        <v>600</v>
      </c>
      <c r="L16" s="19">
        <f t="shared" si="0"/>
        <v>300000</v>
      </c>
    </row>
    <row r="17" spans="1:12" x14ac:dyDescent="0.35">
      <c r="A17" s="3" t="s">
        <v>65</v>
      </c>
      <c r="B17" s="3" t="s">
        <v>56</v>
      </c>
      <c r="C17" s="16" t="s">
        <v>66</v>
      </c>
      <c r="D17" s="23" t="s">
        <v>67</v>
      </c>
      <c r="E17" s="3" t="s">
        <v>68</v>
      </c>
      <c r="F17" s="62">
        <v>410.55</v>
      </c>
      <c r="G17" s="16" t="s">
        <v>17</v>
      </c>
      <c r="H17" s="16"/>
      <c r="I17" s="16"/>
      <c r="J17" s="3" t="s">
        <v>61</v>
      </c>
      <c r="K17" s="20">
        <v>500</v>
      </c>
      <c r="L17" s="19">
        <f t="shared" si="0"/>
        <v>205275</v>
      </c>
    </row>
    <row r="18" spans="1:12" x14ac:dyDescent="0.35">
      <c r="A18" s="2" t="s">
        <v>69</v>
      </c>
      <c r="B18" s="2" t="s">
        <v>56</v>
      </c>
      <c r="C18" s="15" t="s">
        <v>70</v>
      </c>
      <c r="D18" s="22" t="s">
        <v>22</v>
      </c>
      <c r="E18" s="2" t="s">
        <v>71</v>
      </c>
      <c r="F18" s="61">
        <v>3000</v>
      </c>
      <c r="G18" s="15" t="s">
        <v>17</v>
      </c>
      <c r="H18" s="15"/>
      <c r="I18" s="15"/>
      <c r="J18" s="2" t="s">
        <v>72</v>
      </c>
      <c r="K18" s="19">
        <v>75</v>
      </c>
      <c r="L18" s="19">
        <f t="shared" si="0"/>
        <v>225000</v>
      </c>
    </row>
    <row r="19" spans="1:12" x14ac:dyDescent="0.35">
      <c r="A19" s="3" t="s">
        <v>73</v>
      </c>
      <c r="B19" s="3" t="s">
        <v>74</v>
      </c>
      <c r="C19" s="16" t="s">
        <v>75</v>
      </c>
      <c r="D19" s="23" t="s">
        <v>76</v>
      </c>
      <c r="E19" s="3" t="s">
        <v>77</v>
      </c>
      <c r="F19" s="62">
        <v>1500</v>
      </c>
      <c r="G19" s="16" t="s">
        <v>45</v>
      </c>
      <c r="H19" s="16"/>
      <c r="I19" s="16"/>
      <c r="J19" s="3"/>
      <c r="K19" s="20"/>
      <c r="L19" s="19">
        <f t="shared" si="0"/>
        <v>0</v>
      </c>
    </row>
    <row r="20" spans="1:12" x14ac:dyDescent="0.35">
      <c r="A20" s="2" t="s">
        <v>78</v>
      </c>
      <c r="B20" s="2" t="s">
        <v>74</v>
      </c>
      <c r="C20" s="15" t="s">
        <v>51</v>
      </c>
      <c r="D20" s="22" t="s">
        <v>79</v>
      </c>
      <c r="E20" s="2" t="s">
        <v>80</v>
      </c>
      <c r="F20" s="61">
        <v>2000</v>
      </c>
      <c r="G20" s="15" t="s">
        <v>45</v>
      </c>
      <c r="H20" s="15"/>
      <c r="I20" s="15"/>
      <c r="J20" s="2" t="s">
        <v>18</v>
      </c>
      <c r="K20" s="19">
        <v>36</v>
      </c>
      <c r="L20" s="19">
        <f t="shared" si="0"/>
        <v>72000</v>
      </c>
    </row>
    <row r="21" spans="1:12" x14ac:dyDescent="0.35">
      <c r="A21" s="3" t="s">
        <v>81</v>
      </c>
      <c r="B21" s="3" t="s">
        <v>74</v>
      </c>
      <c r="C21" s="16" t="s">
        <v>51</v>
      </c>
      <c r="D21" s="23" t="s">
        <v>82</v>
      </c>
      <c r="E21" s="3" t="s">
        <v>83</v>
      </c>
      <c r="F21" s="62">
        <v>550</v>
      </c>
      <c r="G21" s="16" t="s">
        <v>45</v>
      </c>
      <c r="H21" s="16"/>
      <c r="I21" s="16"/>
      <c r="J21" s="3" t="s">
        <v>18</v>
      </c>
      <c r="K21" s="20">
        <v>30</v>
      </c>
      <c r="L21" s="19">
        <f t="shared" si="0"/>
        <v>16500</v>
      </c>
    </row>
    <row r="22" spans="1:12" x14ac:dyDescent="0.35">
      <c r="A22" s="2" t="s">
        <v>84</v>
      </c>
      <c r="B22" s="2" t="s">
        <v>74</v>
      </c>
      <c r="C22" s="15" t="s">
        <v>75</v>
      </c>
      <c r="D22" s="22" t="s">
        <v>85</v>
      </c>
      <c r="E22" s="2" t="s">
        <v>86</v>
      </c>
      <c r="F22" s="61">
        <v>400</v>
      </c>
      <c r="G22" s="15" t="s">
        <v>17</v>
      </c>
      <c r="H22" s="15"/>
      <c r="I22" s="15"/>
      <c r="J22" s="2"/>
      <c r="K22" s="19"/>
      <c r="L22" s="19">
        <f t="shared" si="0"/>
        <v>0</v>
      </c>
    </row>
    <row r="23" spans="1:12" x14ac:dyDescent="0.35">
      <c r="A23" s="3" t="s">
        <v>87</v>
      </c>
      <c r="B23" s="3" t="s">
        <v>74</v>
      </c>
      <c r="C23" s="16" t="s">
        <v>88</v>
      </c>
      <c r="D23" s="23" t="s">
        <v>89</v>
      </c>
      <c r="E23" s="3" t="s">
        <v>90</v>
      </c>
      <c r="F23" s="62">
        <v>2000</v>
      </c>
      <c r="G23" s="16" t="s">
        <v>45</v>
      </c>
      <c r="H23" s="16"/>
      <c r="I23" s="16"/>
      <c r="J23" s="3"/>
      <c r="K23" s="20"/>
      <c r="L23" s="19">
        <f t="shared" si="0"/>
        <v>0</v>
      </c>
    </row>
    <row r="24" spans="1:12" x14ac:dyDescent="0.35">
      <c r="A24" s="2" t="s">
        <v>91</v>
      </c>
      <c r="B24" s="2" t="s">
        <v>74</v>
      </c>
      <c r="C24" s="15" t="s">
        <v>51</v>
      </c>
      <c r="D24" s="22" t="s">
        <v>92</v>
      </c>
      <c r="E24" s="2" t="s">
        <v>93</v>
      </c>
      <c r="F24" s="61">
        <v>2500</v>
      </c>
      <c r="G24" s="15" t="s">
        <v>45</v>
      </c>
      <c r="H24" s="15"/>
      <c r="I24" s="15"/>
      <c r="J24" s="2"/>
      <c r="K24" s="19"/>
      <c r="L24" s="19">
        <f t="shared" si="0"/>
        <v>0</v>
      </c>
    </row>
    <row r="25" spans="1:12" s="14" customFormat="1" ht="39" x14ac:dyDescent="0.35">
      <c r="A25" s="13" t="s">
        <v>0</v>
      </c>
      <c r="B25" s="13" t="s">
        <v>1</v>
      </c>
      <c r="C25" s="13" t="s">
        <v>202</v>
      </c>
      <c r="D25" s="13" t="s">
        <v>203</v>
      </c>
      <c r="E25" s="13" t="s">
        <v>4</v>
      </c>
      <c r="F25" s="18" t="s">
        <v>5</v>
      </c>
      <c r="G25" s="13" t="s">
        <v>6</v>
      </c>
      <c r="H25" s="13" t="s">
        <v>7</v>
      </c>
      <c r="I25" s="13" t="s">
        <v>8</v>
      </c>
      <c r="J25" s="13" t="s">
        <v>9</v>
      </c>
      <c r="K25" s="18" t="s">
        <v>10</v>
      </c>
      <c r="L25" s="18" t="s">
        <v>11</v>
      </c>
    </row>
    <row r="26" spans="1:12" x14ac:dyDescent="0.35">
      <c r="A26" s="3" t="s">
        <v>94</v>
      </c>
      <c r="B26" s="3" t="s">
        <v>95</v>
      </c>
      <c r="C26" s="16" t="s">
        <v>300</v>
      </c>
      <c r="D26" s="23" t="s">
        <v>96</v>
      </c>
      <c r="E26" s="3" t="s">
        <v>97</v>
      </c>
      <c r="F26" s="62">
        <v>20000</v>
      </c>
      <c r="G26" s="16" t="s">
        <v>98</v>
      </c>
      <c r="H26" s="16" t="s">
        <v>99</v>
      </c>
      <c r="I26" s="16"/>
      <c r="J26" s="3" t="s">
        <v>18</v>
      </c>
      <c r="K26" s="20">
        <v>1</v>
      </c>
      <c r="L26" s="19">
        <f t="shared" si="0"/>
        <v>20000</v>
      </c>
    </row>
    <row r="27" spans="1:12" x14ac:dyDescent="0.35">
      <c r="A27" s="2" t="s">
        <v>100</v>
      </c>
      <c r="B27" s="2" t="s">
        <v>95</v>
      </c>
      <c r="C27" s="16" t="s">
        <v>300</v>
      </c>
      <c r="D27" s="22" t="s">
        <v>101</v>
      </c>
      <c r="E27" s="2" t="s">
        <v>102</v>
      </c>
      <c r="F27" s="61">
        <v>10000</v>
      </c>
      <c r="G27" s="15" t="s">
        <v>98</v>
      </c>
      <c r="H27" s="15" t="s">
        <v>103</v>
      </c>
      <c r="I27" s="15"/>
      <c r="J27" s="2" t="s">
        <v>18</v>
      </c>
      <c r="K27" s="19">
        <v>1</v>
      </c>
      <c r="L27" s="19">
        <f t="shared" si="0"/>
        <v>10000</v>
      </c>
    </row>
    <row r="28" spans="1:12" x14ac:dyDescent="0.35">
      <c r="A28" s="3" t="s">
        <v>104</v>
      </c>
      <c r="B28" s="3" t="s">
        <v>95</v>
      </c>
      <c r="C28" s="16" t="s">
        <v>300</v>
      </c>
      <c r="D28" s="23" t="s">
        <v>105</v>
      </c>
      <c r="E28" s="3" t="s">
        <v>106</v>
      </c>
      <c r="F28" s="62">
        <v>11000</v>
      </c>
      <c r="G28" s="16" t="s">
        <v>107</v>
      </c>
      <c r="H28" s="16" t="s">
        <v>108</v>
      </c>
      <c r="I28" s="16"/>
      <c r="J28" s="3" t="s">
        <v>18</v>
      </c>
      <c r="K28" s="20">
        <v>1</v>
      </c>
      <c r="L28" s="19">
        <f t="shared" si="0"/>
        <v>11000</v>
      </c>
    </row>
    <row r="29" spans="1:12" ht="25" x14ac:dyDescent="0.35">
      <c r="A29" s="2" t="s">
        <v>109</v>
      </c>
      <c r="B29" s="2" t="s">
        <v>95</v>
      </c>
      <c r="C29" s="16" t="s">
        <v>305</v>
      </c>
      <c r="D29" s="22" t="s">
        <v>110</v>
      </c>
      <c r="E29" s="2" t="s">
        <v>111</v>
      </c>
      <c r="F29" s="61">
        <v>24000</v>
      </c>
      <c r="G29" s="15" t="s">
        <v>112</v>
      </c>
      <c r="H29" s="15" t="s">
        <v>113</v>
      </c>
      <c r="I29" s="15"/>
      <c r="J29" s="2" t="s">
        <v>114</v>
      </c>
      <c r="K29" s="19">
        <v>2</v>
      </c>
      <c r="L29" s="19">
        <f t="shared" si="0"/>
        <v>48000</v>
      </c>
    </row>
    <row r="30" spans="1:12" ht="25" x14ac:dyDescent="0.35">
      <c r="A30" s="3" t="s">
        <v>115</v>
      </c>
      <c r="B30" s="3" t="s">
        <v>95</v>
      </c>
      <c r="C30" s="16" t="s">
        <v>300</v>
      </c>
      <c r="D30" s="23" t="s">
        <v>116</v>
      </c>
      <c r="E30" s="3" t="s">
        <v>117</v>
      </c>
      <c r="F30" s="62">
        <v>2300</v>
      </c>
      <c r="G30" s="16" t="s">
        <v>118</v>
      </c>
      <c r="H30" s="16" t="s">
        <v>119</v>
      </c>
      <c r="I30" s="16"/>
      <c r="J30" s="3" t="s">
        <v>49</v>
      </c>
      <c r="K30" s="20">
        <v>1</v>
      </c>
      <c r="L30" s="19">
        <f t="shared" si="0"/>
        <v>2300</v>
      </c>
    </row>
    <row r="31" spans="1:12" x14ac:dyDescent="0.35">
      <c r="A31" s="2" t="s">
        <v>120</v>
      </c>
      <c r="B31" s="2" t="s">
        <v>95</v>
      </c>
      <c r="C31" s="16" t="s">
        <v>300</v>
      </c>
      <c r="D31" s="22" t="s">
        <v>121</v>
      </c>
      <c r="E31" s="2" t="s">
        <v>122</v>
      </c>
      <c r="F31" s="61">
        <v>1600</v>
      </c>
      <c r="G31" s="15" t="s">
        <v>123</v>
      </c>
      <c r="H31" s="15" t="s">
        <v>103</v>
      </c>
      <c r="I31" s="15"/>
      <c r="J31" s="2" t="s">
        <v>49</v>
      </c>
      <c r="K31" s="19">
        <v>1</v>
      </c>
      <c r="L31" s="19">
        <f t="shared" si="0"/>
        <v>1600</v>
      </c>
    </row>
    <row r="32" spans="1:12" x14ac:dyDescent="0.35">
      <c r="A32" s="3" t="s">
        <v>124</v>
      </c>
      <c r="B32" s="3" t="s">
        <v>95</v>
      </c>
      <c r="C32" s="16" t="s">
        <v>305</v>
      </c>
      <c r="D32" s="23" t="s">
        <v>125</v>
      </c>
      <c r="E32" s="3" t="s">
        <v>126</v>
      </c>
      <c r="F32" s="62">
        <v>3200</v>
      </c>
      <c r="G32" s="16" t="s">
        <v>123</v>
      </c>
      <c r="H32" s="16" t="s">
        <v>127</v>
      </c>
      <c r="I32" s="16"/>
      <c r="J32" s="3" t="s">
        <v>18</v>
      </c>
      <c r="K32" s="20">
        <v>1</v>
      </c>
      <c r="L32" s="19">
        <f t="shared" si="0"/>
        <v>3200</v>
      </c>
    </row>
    <row r="33" spans="1:12" x14ac:dyDescent="0.35">
      <c r="A33" s="2" t="s">
        <v>128</v>
      </c>
      <c r="B33" s="2" t="s">
        <v>95</v>
      </c>
      <c r="C33" s="16" t="s">
        <v>300</v>
      </c>
      <c r="D33" s="22" t="s">
        <v>129</v>
      </c>
      <c r="E33" s="2" t="s">
        <v>130</v>
      </c>
      <c r="F33" s="61">
        <v>2000</v>
      </c>
      <c r="G33" s="15" t="s">
        <v>98</v>
      </c>
      <c r="H33" s="15"/>
      <c r="I33" s="15"/>
      <c r="J33" s="2" t="s">
        <v>18</v>
      </c>
      <c r="K33" s="19">
        <v>1</v>
      </c>
      <c r="L33" s="19">
        <f t="shared" si="0"/>
        <v>2000</v>
      </c>
    </row>
    <row r="34" spans="1:12" x14ac:dyDescent="0.35">
      <c r="A34" s="3" t="s">
        <v>131</v>
      </c>
      <c r="B34" s="3" t="s">
        <v>95</v>
      </c>
      <c r="C34" s="16" t="s">
        <v>305</v>
      </c>
      <c r="D34" s="23" t="s">
        <v>132</v>
      </c>
      <c r="E34" s="3" t="s">
        <v>133</v>
      </c>
      <c r="F34" s="62">
        <v>4500</v>
      </c>
      <c r="G34" s="16" t="s">
        <v>98</v>
      </c>
      <c r="H34" s="16" t="s">
        <v>134</v>
      </c>
      <c r="I34" s="16"/>
      <c r="J34" s="3" t="s">
        <v>18</v>
      </c>
      <c r="K34" s="20">
        <v>1</v>
      </c>
      <c r="L34" s="19">
        <f t="shared" si="0"/>
        <v>4500</v>
      </c>
    </row>
    <row r="35" spans="1:12" ht="25" x14ac:dyDescent="0.35">
      <c r="A35" s="2" t="s">
        <v>135</v>
      </c>
      <c r="B35" s="2" t="s">
        <v>95</v>
      </c>
      <c r="C35" s="16" t="s">
        <v>300</v>
      </c>
      <c r="D35" s="22" t="s">
        <v>136</v>
      </c>
      <c r="E35" s="2" t="s">
        <v>137</v>
      </c>
      <c r="F35" s="61">
        <v>1000</v>
      </c>
      <c r="G35" s="15" t="s">
        <v>98</v>
      </c>
      <c r="H35" s="15" t="s">
        <v>138</v>
      </c>
      <c r="I35" s="15"/>
      <c r="J35" s="2" t="s">
        <v>18</v>
      </c>
      <c r="K35" s="19">
        <v>1</v>
      </c>
      <c r="L35" s="19">
        <f t="shared" si="0"/>
        <v>1000</v>
      </c>
    </row>
    <row r="36" spans="1:12" ht="25" x14ac:dyDescent="0.35">
      <c r="A36" s="3" t="s">
        <v>139</v>
      </c>
      <c r="B36" s="3" t="s">
        <v>95</v>
      </c>
      <c r="C36" s="16" t="s">
        <v>304</v>
      </c>
      <c r="D36" s="23" t="s">
        <v>140</v>
      </c>
      <c r="E36" s="3" t="s">
        <v>141</v>
      </c>
      <c r="F36" s="62">
        <v>1000</v>
      </c>
      <c r="G36" s="16" t="s">
        <v>98</v>
      </c>
      <c r="H36" s="16" t="s">
        <v>108</v>
      </c>
      <c r="I36" s="16"/>
      <c r="J36" s="3" t="s">
        <v>18</v>
      </c>
      <c r="K36" s="20">
        <v>1</v>
      </c>
      <c r="L36" s="19">
        <f t="shared" si="0"/>
        <v>1000</v>
      </c>
    </row>
    <row r="37" spans="1:12" ht="25" x14ac:dyDescent="0.35">
      <c r="A37" s="2" t="s">
        <v>142</v>
      </c>
      <c r="B37" s="2" t="s">
        <v>95</v>
      </c>
      <c r="C37" s="16" t="s">
        <v>301</v>
      </c>
      <c r="D37" s="22" t="s">
        <v>143</v>
      </c>
      <c r="E37" s="2" t="s">
        <v>144</v>
      </c>
      <c r="F37" s="61">
        <v>3500</v>
      </c>
      <c r="G37" s="15" t="s">
        <v>145</v>
      </c>
      <c r="H37" s="15" t="s">
        <v>146</v>
      </c>
      <c r="I37" s="15"/>
      <c r="J37" s="2" t="s">
        <v>49</v>
      </c>
      <c r="K37" s="19">
        <v>20</v>
      </c>
      <c r="L37" s="19">
        <f t="shared" si="0"/>
        <v>70000</v>
      </c>
    </row>
    <row r="38" spans="1:12" ht="25" x14ac:dyDescent="0.35">
      <c r="A38" s="3" t="s">
        <v>147</v>
      </c>
      <c r="B38" s="3" t="s">
        <v>95</v>
      </c>
      <c r="C38" s="16" t="s">
        <v>303</v>
      </c>
      <c r="D38" s="23" t="s">
        <v>148</v>
      </c>
      <c r="E38" s="3" t="s">
        <v>149</v>
      </c>
      <c r="F38" s="62">
        <v>19250</v>
      </c>
      <c r="G38" s="16" t="s">
        <v>98</v>
      </c>
      <c r="H38" s="16" t="s">
        <v>150</v>
      </c>
      <c r="I38" s="16"/>
      <c r="J38" s="3" t="s">
        <v>49</v>
      </c>
      <c r="K38" s="20">
        <v>1.5</v>
      </c>
      <c r="L38" s="19">
        <f t="shared" si="0"/>
        <v>28875</v>
      </c>
    </row>
    <row r="39" spans="1:12" x14ac:dyDescent="0.35">
      <c r="A39" s="2" t="s">
        <v>151</v>
      </c>
      <c r="B39" s="2" t="s">
        <v>95</v>
      </c>
      <c r="C39" s="16" t="s">
        <v>301</v>
      </c>
      <c r="D39" s="22" t="s">
        <v>152</v>
      </c>
      <c r="E39" s="2" t="s">
        <v>153</v>
      </c>
      <c r="F39" s="61">
        <v>2800</v>
      </c>
      <c r="G39" s="15" t="s">
        <v>145</v>
      </c>
      <c r="H39" s="15" t="s">
        <v>154</v>
      </c>
      <c r="I39" s="15"/>
      <c r="J39" s="2" t="s">
        <v>49</v>
      </c>
      <c r="K39" s="19">
        <v>4</v>
      </c>
      <c r="L39" s="19">
        <f t="shared" si="0"/>
        <v>11200</v>
      </c>
    </row>
    <row r="40" spans="1:12" ht="25" x14ac:dyDescent="0.35">
      <c r="A40" s="3" t="s">
        <v>155</v>
      </c>
      <c r="B40" s="3" t="s">
        <v>95</v>
      </c>
      <c r="C40" s="16" t="s">
        <v>302</v>
      </c>
      <c r="D40" s="23" t="s">
        <v>156</v>
      </c>
      <c r="E40" s="3" t="s">
        <v>157</v>
      </c>
      <c r="F40" s="62">
        <v>750</v>
      </c>
      <c r="G40" s="16" t="s">
        <v>158</v>
      </c>
      <c r="H40" s="16" t="s">
        <v>159</v>
      </c>
      <c r="I40" s="16"/>
      <c r="J40" s="3" t="s">
        <v>49</v>
      </c>
      <c r="K40" s="20">
        <v>20</v>
      </c>
      <c r="L40" s="19">
        <f t="shared" si="0"/>
        <v>15000</v>
      </c>
    </row>
    <row r="41" spans="1:12" x14ac:dyDescent="0.35">
      <c r="A41" s="2" t="s">
        <v>160</v>
      </c>
      <c r="B41" s="2" t="s">
        <v>95</v>
      </c>
      <c r="C41" s="16" t="s">
        <v>300</v>
      </c>
      <c r="D41" s="22" t="s">
        <v>161</v>
      </c>
      <c r="E41" s="2" t="s">
        <v>162</v>
      </c>
      <c r="F41" s="61">
        <v>1000</v>
      </c>
      <c r="G41" s="15" t="s">
        <v>158</v>
      </c>
      <c r="H41" s="15" t="s">
        <v>119</v>
      </c>
      <c r="I41" s="15"/>
      <c r="J41" s="2" t="s">
        <v>163</v>
      </c>
      <c r="K41" s="19">
        <v>8</v>
      </c>
      <c r="L41" s="19">
        <f t="shared" si="0"/>
        <v>8000</v>
      </c>
    </row>
    <row r="42" spans="1:12" x14ac:dyDescent="0.35">
      <c r="A42" s="3" t="s">
        <v>164</v>
      </c>
      <c r="B42" s="3" t="s">
        <v>95</v>
      </c>
      <c r="C42" s="16" t="s">
        <v>300</v>
      </c>
      <c r="D42" s="23" t="s">
        <v>165</v>
      </c>
      <c r="E42" s="3" t="s">
        <v>166</v>
      </c>
      <c r="F42" s="62">
        <v>5500</v>
      </c>
      <c r="G42" s="16" t="s">
        <v>118</v>
      </c>
      <c r="H42" s="16" t="s">
        <v>167</v>
      </c>
      <c r="I42" s="16"/>
      <c r="J42" s="3" t="s">
        <v>49</v>
      </c>
      <c r="K42" s="20">
        <v>12</v>
      </c>
      <c r="L42" s="19">
        <f t="shared" si="0"/>
        <v>66000</v>
      </c>
    </row>
    <row r="43" spans="1:12" x14ac:dyDescent="0.35">
      <c r="A43" s="2" t="s">
        <v>168</v>
      </c>
      <c r="B43" s="3" t="s">
        <v>95</v>
      </c>
      <c r="C43" s="16" t="s">
        <v>300</v>
      </c>
      <c r="D43" s="23" t="s">
        <v>165</v>
      </c>
      <c r="E43" s="3" t="s">
        <v>166</v>
      </c>
      <c r="F43" s="61">
        <v>2500</v>
      </c>
      <c r="G43" s="15" t="s">
        <v>145</v>
      </c>
      <c r="H43" s="16" t="s">
        <v>299</v>
      </c>
      <c r="I43" s="15"/>
      <c r="J43" s="2" t="s">
        <v>163</v>
      </c>
      <c r="K43" s="19">
        <v>4</v>
      </c>
      <c r="L43" s="19">
        <f t="shared" si="0"/>
        <v>10000</v>
      </c>
    </row>
  </sheetData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47D8A-E1E1-465B-9399-3D63D5513290}">
  <dimension ref="A1:C11"/>
  <sheetViews>
    <sheetView workbookViewId="0">
      <selection activeCell="E11" sqref="E11"/>
    </sheetView>
  </sheetViews>
  <sheetFormatPr baseColWidth="10" defaultColWidth="8.7265625" defaultRowHeight="14.5" x14ac:dyDescent="0.35"/>
  <cols>
    <col min="1" max="1" width="30" customWidth="1"/>
    <col min="2" max="2" width="25" customWidth="1"/>
    <col min="3" max="3" width="15" customWidth="1"/>
    <col min="4" max="6" width="8.7265625" customWidth="1"/>
    <col min="11" max="11" width="8.7265625" customWidth="1"/>
  </cols>
  <sheetData>
    <row r="1" spans="1:3" ht="30" customHeight="1" x14ac:dyDescent="0.35">
      <c r="A1" s="68" t="s">
        <v>227</v>
      </c>
      <c r="B1" s="65"/>
      <c r="C1" s="65"/>
    </row>
    <row r="3" spans="1:3" x14ac:dyDescent="0.35">
      <c r="A3" s="39" t="s">
        <v>9</v>
      </c>
      <c r="B3" s="39" t="s">
        <v>228</v>
      </c>
      <c r="C3" s="39" t="s">
        <v>229</v>
      </c>
    </row>
    <row r="4" spans="1:3" x14ac:dyDescent="0.35">
      <c r="A4" s="40" t="s">
        <v>18</v>
      </c>
      <c r="B4" s="33">
        <v>1170660</v>
      </c>
      <c r="C4" s="41">
        <v>0.62098994058996781</v>
      </c>
    </row>
    <row r="5" spans="1:3" x14ac:dyDescent="0.35">
      <c r="A5" s="40" t="s">
        <v>72</v>
      </c>
      <c r="B5" s="33">
        <v>225000</v>
      </c>
      <c r="C5" s="41">
        <v>0.1193538146282804</v>
      </c>
    </row>
    <row r="6" spans="1:3" x14ac:dyDescent="0.35">
      <c r="A6" s="40" t="s">
        <v>61</v>
      </c>
      <c r="B6" s="33">
        <v>206116.31</v>
      </c>
      <c r="C6" s="41">
        <v>0.1093367460249119</v>
      </c>
    </row>
    <row r="7" spans="1:3" x14ac:dyDescent="0.35">
      <c r="A7" s="40" t="s">
        <v>49</v>
      </c>
      <c r="B7" s="33">
        <v>195375</v>
      </c>
      <c r="C7" s="41">
        <v>0.1036388957022235</v>
      </c>
    </row>
    <row r="8" spans="1:3" x14ac:dyDescent="0.35">
      <c r="A8" s="40" t="s">
        <v>114</v>
      </c>
      <c r="B8" s="33">
        <v>48000</v>
      </c>
      <c r="C8" s="41">
        <v>2.5462147120699819E-2</v>
      </c>
    </row>
    <row r="9" spans="1:3" x14ac:dyDescent="0.35">
      <c r="A9" s="40" t="s">
        <v>54</v>
      </c>
      <c r="B9" s="33">
        <v>22000</v>
      </c>
      <c r="C9" s="41">
        <v>1.167015076365409E-2</v>
      </c>
    </row>
    <row r="10" spans="1:3" x14ac:dyDescent="0.35">
      <c r="A10" s="40" t="s">
        <v>163</v>
      </c>
      <c r="B10" s="33">
        <v>18000</v>
      </c>
      <c r="C10" s="41">
        <v>9.5483051702624326E-3</v>
      </c>
    </row>
    <row r="11" spans="1:3" x14ac:dyDescent="0.35">
      <c r="A11" s="42" t="s">
        <v>230</v>
      </c>
      <c r="B11" s="47">
        <v>1885151.31</v>
      </c>
      <c r="C11" s="43">
        <v>1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DC1A-AA89-4738-A6FF-2DD40307170F}">
  <dimension ref="A1:F28"/>
  <sheetViews>
    <sheetView workbookViewId="0">
      <selection activeCell="H10" sqref="H10"/>
    </sheetView>
  </sheetViews>
  <sheetFormatPr baseColWidth="10" defaultColWidth="8.7265625" defaultRowHeight="14.5" x14ac:dyDescent="0.35"/>
  <cols>
    <col min="1" max="1" width="30" style="21" customWidth="1"/>
    <col min="2" max="4" width="20" style="21" customWidth="1"/>
    <col min="5" max="5" width="25" style="21" customWidth="1"/>
    <col min="6" max="6" width="8.7265625" style="83"/>
    <col min="7" max="16384" width="8.7265625" style="21"/>
  </cols>
  <sheetData>
    <row r="1" spans="1:6" ht="30" customHeight="1" x14ac:dyDescent="0.35">
      <c r="A1" s="77" t="s">
        <v>231</v>
      </c>
      <c r="B1" s="78"/>
      <c r="C1" s="78"/>
      <c r="D1" s="78"/>
      <c r="E1" s="78"/>
    </row>
    <row r="3" spans="1:6" ht="19" x14ac:dyDescent="0.35">
      <c r="A3" s="79" t="s">
        <v>232</v>
      </c>
      <c r="B3" s="78"/>
      <c r="C3" s="78"/>
      <c r="D3" s="78"/>
      <c r="E3" s="78"/>
      <c r="F3" s="84" t="s">
        <v>306</v>
      </c>
    </row>
    <row r="4" spans="1:6" x14ac:dyDescent="0.35">
      <c r="A4" s="44" t="s">
        <v>233</v>
      </c>
      <c r="B4" s="44" t="s">
        <v>234</v>
      </c>
      <c r="C4" s="44" t="s">
        <v>235</v>
      </c>
      <c r="D4" s="44" t="s">
        <v>236</v>
      </c>
      <c r="E4" s="44" t="s">
        <v>237</v>
      </c>
      <c r="F4" s="84"/>
    </row>
    <row r="5" spans="1:6" x14ac:dyDescent="0.35">
      <c r="A5" s="45" t="s">
        <v>238</v>
      </c>
      <c r="B5" s="33">
        <f>'09_Mars_Nectarine'!F44</f>
        <v>16907.400000000001</v>
      </c>
      <c r="C5" s="33">
        <f>'09_Mars_Nectarine'!F51</f>
        <v>36000</v>
      </c>
      <c r="D5" s="33">
        <f>'09_Mars_Nectarine'!F58</f>
        <v>48000</v>
      </c>
      <c r="E5" s="46">
        <f>SUM(B5:D5)</f>
        <v>100907.4</v>
      </c>
      <c r="F5" s="83">
        <v>1</v>
      </c>
    </row>
    <row r="6" spans="1:6" x14ac:dyDescent="0.35">
      <c r="A6" s="45" t="s">
        <v>239</v>
      </c>
      <c r="B6" s="33">
        <f>'01_Avril_Nectarine'!F44</f>
        <v>22797</v>
      </c>
      <c r="C6" s="33">
        <f>'01_Avril_Nectarine'!F51</f>
        <v>32700</v>
      </c>
      <c r="D6" s="33">
        <f>'01_Avril_Nectarine'!F58</f>
        <v>0</v>
      </c>
      <c r="E6" s="46">
        <f t="shared" ref="E6:E10" si="0">SUM(B6:D6)</f>
        <v>55497</v>
      </c>
      <c r="F6" s="83">
        <v>2</v>
      </c>
    </row>
    <row r="7" spans="1:6" x14ac:dyDescent="0.35">
      <c r="A7" s="45" t="s">
        <v>240</v>
      </c>
      <c r="B7" s="33">
        <f>'20_Avril_Nectarine'!F46</f>
        <v>51239.799999999996</v>
      </c>
      <c r="C7" s="33">
        <f>'20_Avril_Nectarine'!F53</f>
        <v>5500</v>
      </c>
      <c r="D7" s="33">
        <f>'20_Avril_Nectarine'!F60</f>
        <v>18002</v>
      </c>
      <c r="E7" s="46">
        <f t="shared" si="0"/>
        <v>74741.799999999988</v>
      </c>
      <c r="F7" s="83">
        <v>3</v>
      </c>
    </row>
    <row r="8" spans="1:6" x14ac:dyDescent="0.35">
      <c r="A8" s="45" t="s">
        <v>241</v>
      </c>
      <c r="B8" s="33">
        <f>'06_Mai_Nectarine'!F45</f>
        <v>60996</v>
      </c>
      <c r="C8" s="33">
        <f>'06_Mai_Nectarine'!F52</f>
        <v>32700</v>
      </c>
      <c r="D8" s="33">
        <f>'06_Mai_Nectarine'!F59</f>
        <v>2</v>
      </c>
      <c r="E8" s="46">
        <f t="shared" si="0"/>
        <v>93698</v>
      </c>
      <c r="F8" s="83">
        <v>4</v>
      </c>
    </row>
    <row r="9" spans="1:6" x14ac:dyDescent="0.35">
      <c r="A9" s="45" t="s">
        <v>298</v>
      </c>
      <c r="B9" s="33">
        <f>'28_Mai_Nectarine_RED'!F45</f>
        <v>59695.6</v>
      </c>
      <c r="C9" s="33">
        <f>'28_Mai_Nectarine_RED'!F52</f>
        <v>55700</v>
      </c>
      <c r="D9" s="33">
        <f>'28_Mai_Nectarine_RED'!F59</f>
        <v>0</v>
      </c>
      <c r="E9" s="46">
        <f t="shared" si="0"/>
        <v>115395.6</v>
      </c>
      <c r="F9" s="83">
        <v>5</v>
      </c>
    </row>
    <row r="10" spans="1:6" x14ac:dyDescent="0.35">
      <c r="A10" s="45" t="s">
        <v>242</v>
      </c>
      <c r="B10" s="33">
        <f>'28_Mai_Nectarine_NAB'!F47</f>
        <v>145408.80000000002</v>
      </c>
      <c r="C10" s="33">
        <f>'28_Mai_Nectarine_NAB'!F55</f>
        <v>55700</v>
      </c>
      <c r="D10" s="33">
        <f>'28_Mai_Nectarine_NAB'!F62</f>
        <v>0</v>
      </c>
      <c r="E10" s="46">
        <f t="shared" si="0"/>
        <v>201108.80000000002</v>
      </c>
      <c r="F10" s="83">
        <v>6</v>
      </c>
    </row>
    <row r="11" spans="1:6" x14ac:dyDescent="0.35">
      <c r="A11" s="47" t="s">
        <v>243</v>
      </c>
      <c r="B11" s="47">
        <f>SUM(B5:B10)</f>
        <v>357044.60000000003</v>
      </c>
      <c r="C11" s="47">
        <f t="shared" ref="C11:E11" si="1">SUM(C5:C10)</f>
        <v>218300</v>
      </c>
      <c r="D11" s="47">
        <f t="shared" si="1"/>
        <v>66004</v>
      </c>
      <c r="E11" s="47">
        <f t="shared" si="1"/>
        <v>641348.6</v>
      </c>
    </row>
    <row r="13" spans="1:6" ht="19" x14ac:dyDescent="0.35">
      <c r="A13" s="80" t="s">
        <v>244</v>
      </c>
      <c r="B13" s="78"/>
      <c r="C13" s="78"/>
      <c r="D13" s="78"/>
      <c r="E13" s="78"/>
    </row>
    <row r="14" spans="1:6" x14ac:dyDescent="0.35">
      <c r="A14" s="44" t="s">
        <v>233</v>
      </c>
      <c r="B14" s="44" t="s">
        <v>234</v>
      </c>
      <c r="C14" s="44" t="s">
        <v>235</v>
      </c>
      <c r="D14" s="44" t="s">
        <v>236</v>
      </c>
      <c r="E14" s="44" t="s">
        <v>237</v>
      </c>
    </row>
    <row r="15" spans="1:6" x14ac:dyDescent="0.35">
      <c r="A15" s="45" t="s">
        <v>245</v>
      </c>
      <c r="B15" s="33">
        <f>'09_Mars_Pommier'!F24</f>
        <v>13500</v>
      </c>
      <c r="C15" s="33">
        <f>'09_Mars_Pommier'!F31</f>
        <v>2400</v>
      </c>
      <c r="D15" s="33">
        <f>'09_Mars_Pommier'!F38</f>
        <v>0</v>
      </c>
      <c r="E15" s="46">
        <f t="shared" ref="E15:E18" si="2">SUM(B15:D15)</f>
        <v>15900</v>
      </c>
      <c r="F15" s="83">
        <v>7</v>
      </c>
    </row>
    <row r="16" spans="1:6" x14ac:dyDescent="0.35">
      <c r="A16" s="45" t="s">
        <v>246</v>
      </c>
      <c r="B16" s="33">
        <f>'01_Avril_Pommier'!F44</f>
        <v>13208.5</v>
      </c>
      <c r="C16" s="33">
        <f>'01_Avril_Pommier'!F51</f>
        <v>6650</v>
      </c>
      <c r="D16" s="33">
        <f>'01_Avril_Pommier'!F58</f>
        <v>24000</v>
      </c>
      <c r="E16" s="46">
        <f t="shared" si="2"/>
        <v>43858.5</v>
      </c>
      <c r="F16" s="83">
        <v>8</v>
      </c>
    </row>
    <row r="17" spans="1:6" x14ac:dyDescent="0.35">
      <c r="A17" s="45" t="s">
        <v>247</v>
      </c>
      <c r="B17" s="33">
        <f>'06_Mai_Pommier'!F44</f>
        <v>22372.3</v>
      </c>
      <c r="C17" s="33">
        <f>'06_Mai_Pommier'!F51</f>
        <v>21100</v>
      </c>
      <c r="D17" s="33">
        <f>'06_Mai_Pommier'!F58</f>
        <v>1</v>
      </c>
      <c r="E17" s="46">
        <f t="shared" si="2"/>
        <v>43473.3</v>
      </c>
      <c r="F17" s="83">
        <v>9</v>
      </c>
    </row>
    <row r="18" spans="1:6" x14ac:dyDescent="0.35">
      <c r="A18" s="45" t="s">
        <v>248</v>
      </c>
      <c r="B18" s="33">
        <f>'28_Mai_Pommier'!F44</f>
        <v>22684.3</v>
      </c>
      <c r="C18" s="33">
        <f>'28_Mai_Pommier'!F51</f>
        <v>21100</v>
      </c>
      <c r="D18" s="33">
        <f>'28_Mai_Pommier'!F58</f>
        <v>20001</v>
      </c>
      <c r="E18" s="46">
        <f t="shared" si="2"/>
        <v>63785.3</v>
      </c>
      <c r="F18" s="83">
        <v>10</v>
      </c>
    </row>
    <row r="19" spans="1:6" x14ac:dyDescent="0.35">
      <c r="A19" s="47" t="s">
        <v>249</v>
      </c>
      <c r="B19" s="47">
        <f>SUM(B15:B18)</f>
        <v>71765.100000000006</v>
      </c>
      <c r="C19" s="47">
        <f t="shared" ref="C19:D19" si="3">SUM(C15:C18)</f>
        <v>51250</v>
      </c>
      <c r="D19" s="47">
        <f t="shared" si="3"/>
        <v>44002</v>
      </c>
      <c r="E19" s="47">
        <f>SUM(E15:E18)</f>
        <v>167017.1</v>
      </c>
    </row>
    <row r="21" spans="1:6" ht="19" x14ac:dyDescent="0.35">
      <c r="A21" s="81" t="s">
        <v>250</v>
      </c>
      <c r="B21" s="78"/>
      <c r="C21" s="78"/>
      <c r="D21" s="78"/>
      <c r="E21" s="78"/>
    </row>
    <row r="22" spans="1:6" x14ac:dyDescent="0.35">
      <c r="A22" s="44" t="s">
        <v>233</v>
      </c>
      <c r="B22" s="44" t="s">
        <v>234</v>
      </c>
      <c r="C22" s="44" t="s">
        <v>235</v>
      </c>
      <c r="D22" s="44" t="s">
        <v>236</v>
      </c>
      <c r="E22" s="44" t="s">
        <v>237</v>
      </c>
    </row>
    <row r="23" spans="1:6" x14ac:dyDescent="0.35">
      <c r="A23" s="45" t="s">
        <v>251</v>
      </c>
      <c r="B23" s="33">
        <f>'17_Mars_Olivier'!F43</f>
        <v>34672.400000000001</v>
      </c>
      <c r="C23" s="33">
        <f>'17_Mars_Olivier'!F50</f>
        <v>0</v>
      </c>
      <c r="D23" s="33">
        <f>'17_Mars_Olivier'!F57</f>
        <v>0</v>
      </c>
      <c r="E23" s="46">
        <f t="shared" ref="E23:E25" si="4">SUM(B23:D23)</f>
        <v>34672.400000000001</v>
      </c>
      <c r="F23" s="83">
        <v>11</v>
      </c>
    </row>
    <row r="24" spans="1:6" x14ac:dyDescent="0.35">
      <c r="A24" s="45" t="s">
        <v>252</v>
      </c>
      <c r="B24" s="33">
        <f>'06_Mai_Olivier'!F44</f>
        <v>76092.399999999994</v>
      </c>
      <c r="C24" s="33">
        <f>'06_Mai_Olivier'!F51</f>
        <v>0</v>
      </c>
      <c r="D24" s="33">
        <f>'06_Mai_Olivier'!F58</f>
        <v>0</v>
      </c>
      <c r="E24" s="46">
        <f t="shared" si="4"/>
        <v>76092.399999999994</v>
      </c>
      <c r="F24" s="83">
        <v>12</v>
      </c>
    </row>
    <row r="25" spans="1:6" x14ac:dyDescent="0.35">
      <c r="A25" s="45" t="s">
        <v>253</v>
      </c>
      <c r="B25" s="33">
        <f>'28_Mai_Olivier'!F45</f>
        <v>76091.200000000012</v>
      </c>
      <c r="C25" s="33">
        <f>'28_Mai_Olivier'!F52</f>
        <v>0</v>
      </c>
      <c r="D25" s="33">
        <f>'28_Mai_Olivier'!F59</f>
        <v>0</v>
      </c>
      <c r="E25" s="46">
        <f t="shared" si="4"/>
        <v>76091.200000000012</v>
      </c>
      <c r="F25" s="83">
        <v>13</v>
      </c>
    </row>
    <row r="26" spans="1:6" x14ac:dyDescent="0.35">
      <c r="A26" s="47" t="s">
        <v>254</v>
      </c>
      <c r="B26" s="47">
        <f>SUM(B23:B25)</f>
        <v>186856</v>
      </c>
      <c r="C26" s="47">
        <f t="shared" ref="C26:E26" si="5">SUM(C23:C25)</f>
        <v>0</v>
      </c>
      <c r="D26" s="47">
        <f t="shared" si="5"/>
        <v>0</v>
      </c>
      <c r="E26" s="47">
        <f t="shared" si="5"/>
        <v>186856</v>
      </c>
    </row>
    <row r="28" spans="1:6" ht="19" x14ac:dyDescent="0.4">
      <c r="A28" s="82" t="s">
        <v>255</v>
      </c>
      <c r="B28" s="78"/>
      <c r="C28" s="78"/>
      <c r="D28" s="78"/>
      <c r="E28" s="48">
        <f>E11+E19+E26</f>
        <v>995221.7</v>
      </c>
    </row>
  </sheetData>
  <mergeCells count="6">
    <mergeCell ref="F3:F4"/>
    <mergeCell ref="A1:E1"/>
    <mergeCell ref="A3:E3"/>
    <mergeCell ref="A13:E13"/>
    <mergeCell ref="A21:E21"/>
    <mergeCell ref="A28:D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8"/>
  <sheetViews>
    <sheetView topLeftCell="A31" zoomScale="70" zoomScaleNormal="70" workbookViewId="0">
      <selection activeCell="F44" sqref="F44"/>
    </sheetView>
  </sheetViews>
  <sheetFormatPr baseColWidth="10" defaultColWidth="8.7265625" defaultRowHeight="14.5" x14ac:dyDescent="0.35"/>
  <cols>
    <col min="1" max="1" width="42" customWidth="1"/>
    <col min="2" max="3" width="15" style="17" customWidth="1"/>
    <col min="4" max="6" width="20" style="17" customWidth="1"/>
    <col min="7" max="7" width="15" customWidth="1"/>
    <col min="8" max="8" width="20" customWidth="1"/>
    <col min="9" max="9" width="45" customWidth="1"/>
  </cols>
  <sheetData>
    <row r="1" spans="1:9" ht="19" x14ac:dyDescent="0.35">
      <c r="A1" s="68" t="s">
        <v>222</v>
      </c>
      <c r="B1" s="65"/>
      <c r="C1" s="65"/>
      <c r="D1" s="65"/>
      <c r="E1" s="65"/>
      <c r="F1" s="65"/>
      <c r="G1" s="65"/>
      <c r="H1" s="65"/>
      <c r="I1" s="65"/>
    </row>
    <row r="3" spans="1:9" x14ac:dyDescent="0.35">
      <c r="A3" t="s">
        <v>170</v>
      </c>
      <c r="B3" s="25">
        <v>4</v>
      </c>
    </row>
    <row r="4" spans="1:9" x14ac:dyDescent="0.35">
      <c r="A4" t="s">
        <v>171</v>
      </c>
      <c r="B4" s="25" t="s">
        <v>172</v>
      </c>
    </row>
    <row r="5" spans="1:9" x14ac:dyDescent="0.35">
      <c r="A5" t="s">
        <v>173</v>
      </c>
      <c r="B5" s="28" t="s">
        <v>221</v>
      </c>
    </row>
    <row r="7" spans="1:9" ht="16.5" x14ac:dyDescent="0.35">
      <c r="A7" s="67" t="s">
        <v>175</v>
      </c>
      <c r="B7" s="65"/>
      <c r="C7" s="65"/>
      <c r="D7" s="65"/>
      <c r="E7" s="65"/>
      <c r="F7" s="65"/>
      <c r="G7" s="65"/>
      <c r="H7" s="65"/>
      <c r="I7" s="65"/>
    </row>
    <row r="8" spans="1:9" x14ac:dyDescent="0.35">
      <c r="A8" s="66" t="s">
        <v>176</v>
      </c>
      <c r="B8" s="65"/>
      <c r="C8" s="65"/>
      <c r="D8" s="65"/>
      <c r="E8" s="65"/>
      <c r="F8" s="65"/>
      <c r="G8" s="65"/>
      <c r="H8" s="65"/>
      <c r="I8" s="65"/>
    </row>
    <row r="9" spans="1:9" x14ac:dyDescent="0.35">
      <c r="A9" s="1" t="s">
        <v>177</v>
      </c>
      <c r="B9" s="1" t="s">
        <v>178</v>
      </c>
      <c r="C9" s="1" t="s">
        <v>179</v>
      </c>
      <c r="D9" s="1" t="s">
        <v>180</v>
      </c>
      <c r="E9" s="1" t="s">
        <v>5</v>
      </c>
      <c r="F9" s="1" t="s">
        <v>181</v>
      </c>
      <c r="G9" s="1" t="s">
        <v>182</v>
      </c>
      <c r="H9" s="1" t="s">
        <v>183</v>
      </c>
      <c r="I9" s="1" t="s">
        <v>184</v>
      </c>
    </row>
    <row r="10" spans="1:9" x14ac:dyDescent="0.35">
      <c r="A10" s="6"/>
      <c r="B10" s="26"/>
      <c r="C10" s="26"/>
      <c r="D10" s="27" t="str">
        <f>IF(AND(ISNUMBER(B10), ISNUMBER(C10)), B10*C10*$B$3, "")</f>
        <v/>
      </c>
      <c r="E10" s="27" t="str">
        <f>IF(A10="","",VLOOKUP(A10, Base_Donnees!A:F, 6, FALSE))</f>
        <v/>
      </c>
      <c r="F10" s="27" t="str">
        <f>IF(ISNUMBER(D10), D10*E10, "")</f>
        <v/>
      </c>
      <c r="G10" s="6" t="str">
        <f>IF(A10="","",IF(ISNUMBER(D10), IFERROR((D10/VLOOKUP(A10, Base_Donnees!A:F, 3, FALSE))*1000, "-"), ""))</f>
        <v/>
      </c>
      <c r="H10" s="6" t="str">
        <f>IF(A10="","",VLOOKUP(A10, Base_Donnees!A:F, 4, FALSE))</f>
        <v/>
      </c>
      <c r="I10" s="6" t="str">
        <f>IF(A10="","",VLOOKUP(A10, Base_Donnees!A:F, 5, FALSE))</f>
        <v/>
      </c>
    </row>
    <row r="12" spans="1:9" x14ac:dyDescent="0.35">
      <c r="A12" s="66" t="s">
        <v>185</v>
      </c>
      <c r="B12" s="65"/>
      <c r="C12" s="65"/>
      <c r="D12" s="65"/>
      <c r="E12" s="65"/>
      <c r="F12" s="65"/>
      <c r="G12" s="65"/>
      <c r="H12" s="65"/>
      <c r="I12" s="65"/>
    </row>
    <row r="13" spans="1:9" x14ac:dyDescent="0.35">
      <c r="A13" s="1" t="s">
        <v>177</v>
      </c>
      <c r="B13" s="1" t="s">
        <v>178</v>
      </c>
      <c r="C13" s="1" t="s">
        <v>179</v>
      </c>
      <c r="D13" s="1" t="s">
        <v>180</v>
      </c>
      <c r="E13" s="1" t="s">
        <v>5</v>
      </c>
      <c r="F13" s="1" t="s">
        <v>181</v>
      </c>
      <c r="G13" s="1" t="s">
        <v>182</v>
      </c>
      <c r="H13" s="1" t="s">
        <v>183</v>
      </c>
      <c r="I13" s="1" t="s">
        <v>184</v>
      </c>
    </row>
    <row r="14" spans="1:9" x14ac:dyDescent="0.35">
      <c r="A14" s="6" t="s">
        <v>19</v>
      </c>
      <c r="B14" s="26">
        <v>2</v>
      </c>
      <c r="C14" s="26">
        <v>1</v>
      </c>
      <c r="D14" s="27">
        <f>IF(AND(ISNUMBER(B14), ISNUMBER(C14)), B14*C14*$B$3, "")</f>
        <v>8</v>
      </c>
      <c r="E14" s="27">
        <f>IF(A14="","",VLOOKUP(A14, Base_Donnees!A:F, 6, FALSE))</f>
        <v>45</v>
      </c>
      <c r="F14" s="27">
        <f>IF(ISNUMBER(D14), D14*E14, "")</f>
        <v>360</v>
      </c>
      <c r="G14" s="6">
        <f>IF(A14="","",IF(ISNUMBER(D14), IFERROR((D14/VLOOKUP(A14, Base_Donnees!A:F, 3, FALSE))*1000, "-"), ""))</f>
        <v>76.190476190476204</v>
      </c>
      <c r="H14" s="6" t="str">
        <f>IF(A14="","",VLOOKUP(A14, Base_Donnees!A:F, 4, FALSE))</f>
        <v>5 min</v>
      </c>
      <c r="I14" s="6" t="str">
        <f>IF(A14="","",VLOOKUP(A14, Base_Donnees!A:F, 5, FALSE))</f>
        <v>Très soluble. Refroidit l'eau (endothermique).</v>
      </c>
    </row>
    <row r="15" spans="1:9" x14ac:dyDescent="0.35">
      <c r="A15" s="6" t="s">
        <v>28</v>
      </c>
      <c r="B15" s="26">
        <v>3.5</v>
      </c>
      <c r="C15" s="26">
        <v>1</v>
      </c>
      <c r="D15" s="27">
        <f>IF(AND(ISNUMBER(B15), ISNUMBER(C15)), B15*C15*$B$3, "")</f>
        <v>14</v>
      </c>
      <c r="E15" s="27">
        <f>IF(A15="","",VLOOKUP(A15, Base_Donnees!A:F, 6, FALSE))</f>
        <v>220</v>
      </c>
      <c r="F15" s="27">
        <f>IF(ISNUMBER(D15), D15*E15, "")</f>
        <v>3080</v>
      </c>
      <c r="G15" s="6">
        <f>IF(A15="","",IF(ISNUMBER(D15), IFERROR((D15/VLOOKUP(A15, Base_Donnees!A:F, 3, FALSE))*1000, "-"), ""))</f>
        <v>1400</v>
      </c>
      <c r="H15" s="6" t="str">
        <f>IF(A15="","",VLOOKUP(A15, Base_Donnees!A:F, 4, FALSE))</f>
        <v>20 min</v>
      </c>
      <c r="I15" s="6" t="str">
        <f>IF(A15="","",VLOOKUP(A15, Base_Donnees!A:F, 5, FALSE))</f>
        <v>Le plus difficile à dissoudre du marché.</v>
      </c>
    </row>
    <row r="16" spans="1:9" x14ac:dyDescent="0.35">
      <c r="A16" s="6" t="s">
        <v>32</v>
      </c>
      <c r="B16" s="26">
        <v>1.5</v>
      </c>
      <c r="C16" s="26">
        <v>1</v>
      </c>
      <c r="D16" s="27">
        <f>IF(AND(ISNUMBER(B16), ISNUMBER(C16)), B16*C16*$B$3, "")</f>
        <v>6</v>
      </c>
      <c r="E16" s="27">
        <f>IF(A16="","",VLOOKUP(A16, Base_Donnees!A:F, 6, FALSE))</f>
        <v>260</v>
      </c>
      <c r="F16" s="27">
        <f>IF(ISNUMBER(D16), D16*E16, "")</f>
        <v>1560</v>
      </c>
      <c r="G16" s="6">
        <f>IF(A16="","",IF(ISNUMBER(D16), IFERROR((D16/VLOOKUP(A16, Base_Donnees!A:F, 3, FALSE))*1000, "-"), ""))</f>
        <v>85.714285714285708</v>
      </c>
      <c r="H16" s="6" t="str">
        <f>IF(A16="","",VLOOKUP(A16, Base_Donnees!A:F, 4, FALSE))</f>
        <v>8 min</v>
      </c>
      <c r="I16" s="6" t="str">
        <f>IF(A16="","",VLOOKUP(A16, Base_Donnees!A:F, 5, FALSE))</f>
        <v>Excellente source de magnésium soluble.</v>
      </c>
    </row>
    <row r="18" spans="1:9" x14ac:dyDescent="0.35">
      <c r="A18" s="66" t="s">
        <v>186</v>
      </c>
      <c r="B18" s="65"/>
      <c r="C18" s="65"/>
      <c r="D18" s="65"/>
      <c r="E18" s="65"/>
      <c r="F18" s="65"/>
      <c r="G18" s="65"/>
      <c r="H18" s="65"/>
      <c r="I18" s="65"/>
    </row>
    <row r="19" spans="1:9" x14ac:dyDescent="0.35">
      <c r="A19" s="1" t="s">
        <v>177</v>
      </c>
      <c r="B19" s="1" t="s">
        <v>178</v>
      </c>
      <c r="C19" s="1" t="s">
        <v>179</v>
      </c>
      <c r="D19" s="1" t="s">
        <v>180</v>
      </c>
      <c r="E19" s="1" t="s">
        <v>5</v>
      </c>
      <c r="F19" s="1" t="s">
        <v>181</v>
      </c>
      <c r="G19" s="1" t="s">
        <v>182</v>
      </c>
      <c r="H19" s="1" t="s">
        <v>183</v>
      </c>
      <c r="I19" s="1" t="s">
        <v>184</v>
      </c>
    </row>
    <row r="20" spans="1:9" x14ac:dyDescent="0.35">
      <c r="A20" s="6"/>
      <c r="B20" s="26"/>
      <c r="C20" s="26"/>
      <c r="D20" s="27" t="str">
        <f>IF(AND(ISNUMBER(B20), ISNUMBER(C20)), B20*C20*$B$3, "")</f>
        <v/>
      </c>
      <c r="E20" s="27" t="str">
        <f>IF(A20="","",VLOOKUP(A20, Base_Donnees!A:F, 6, FALSE))</f>
        <v/>
      </c>
      <c r="F20" s="27" t="str">
        <f>IF(ISNUMBER(D20), D20*E20, "")</f>
        <v/>
      </c>
      <c r="G20" s="6" t="str">
        <f>IF(A20="","",IF(ISNUMBER(D20), IFERROR((D20/VLOOKUP(A20, Base_Donnees!A:F, 3, FALSE))*1000, "-"), ""))</f>
        <v/>
      </c>
      <c r="H20" s="6" t="str">
        <f>IF(A20="","",VLOOKUP(A20, Base_Donnees!A:F, 4, FALSE))</f>
        <v/>
      </c>
      <c r="I20" s="6" t="str">
        <f>IF(A20="","",VLOOKUP(A20, Base_Donnees!A:F, 5, FALSE))</f>
        <v/>
      </c>
    </row>
    <row r="22" spans="1:9" x14ac:dyDescent="0.35">
      <c r="A22" s="66" t="s">
        <v>187</v>
      </c>
      <c r="B22" s="65"/>
      <c r="C22" s="65"/>
      <c r="D22" s="65"/>
      <c r="E22" s="65"/>
      <c r="F22" s="65"/>
      <c r="G22" s="65"/>
      <c r="H22" s="65"/>
      <c r="I22" s="65"/>
    </row>
    <row r="23" spans="1:9" x14ac:dyDescent="0.35">
      <c r="A23" s="1" t="s">
        <v>177</v>
      </c>
      <c r="B23" s="1" t="s">
        <v>178</v>
      </c>
      <c r="C23" s="1" t="s">
        <v>179</v>
      </c>
      <c r="D23" s="1" t="s">
        <v>180</v>
      </c>
      <c r="E23" s="1" t="s">
        <v>5</v>
      </c>
      <c r="F23" s="1" t="s">
        <v>181</v>
      </c>
      <c r="G23" s="1" t="s">
        <v>182</v>
      </c>
      <c r="H23" s="1" t="s">
        <v>183</v>
      </c>
      <c r="I23" s="1" t="s">
        <v>184</v>
      </c>
    </row>
    <row r="24" spans="1:9" x14ac:dyDescent="0.35">
      <c r="A24" s="6" t="s">
        <v>63</v>
      </c>
      <c r="B24" s="26">
        <v>2.5</v>
      </c>
      <c r="C24" s="26">
        <v>1</v>
      </c>
      <c r="D24" s="27">
        <f>IF(AND(ISNUMBER(B24), ISNUMBER(C24)), B24*C24*$B$3, "")</f>
        <v>10</v>
      </c>
      <c r="E24" s="27">
        <f>IF(A24="","",VLOOKUP(A24, Base_Donnees!A:F, 6, FALSE))</f>
        <v>500</v>
      </c>
      <c r="F24" s="27">
        <f>IF(ISNUMBER(D24), D24*E24, "")</f>
        <v>5000</v>
      </c>
      <c r="G24" s="6">
        <f>IF(A24="","",IF(ISNUMBER(D24), IFERROR((D24/VLOOKUP(A24, Base_Donnees!A:F, 3, FALSE))*1000, "-"), ""))</f>
        <v>2</v>
      </c>
      <c r="H24" s="6" t="str">
        <f>IF(A24="","",VLOOKUP(A24, Base_Donnees!A:F, 4, FALSE))</f>
        <v>1 min</v>
      </c>
      <c r="I24" s="6" t="str">
        <f>IF(A24="","",VLOOKUP(A24, Base_Donnees!A:F, 5, FALSE))</f>
        <v>Sécurité : Toujours verser l'acide dans l'eau.</v>
      </c>
    </row>
    <row r="26" spans="1:9" ht="16.5" x14ac:dyDescent="0.35">
      <c r="A26" s="69" t="s">
        <v>188</v>
      </c>
      <c r="B26" s="65"/>
      <c r="C26" s="65"/>
      <c r="D26" s="65"/>
      <c r="E26" s="65"/>
      <c r="F26" s="65"/>
      <c r="G26" s="65"/>
      <c r="H26" s="65"/>
      <c r="I26" s="65"/>
    </row>
    <row r="27" spans="1:9" x14ac:dyDescent="0.35">
      <c r="A27" s="66" t="s">
        <v>176</v>
      </c>
      <c r="B27" s="65"/>
      <c r="C27" s="65"/>
      <c r="D27" s="65"/>
      <c r="E27" s="65"/>
      <c r="F27" s="65"/>
      <c r="G27" s="65"/>
      <c r="H27" s="65"/>
      <c r="I27" s="65"/>
    </row>
    <row r="28" spans="1:9" x14ac:dyDescent="0.35">
      <c r="A28" s="1" t="s">
        <v>177</v>
      </c>
      <c r="B28" s="1" t="s">
        <v>178</v>
      </c>
      <c r="C28" s="1" t="s">
        <v>179</v>
      </c>
      <c r="D28" s="1" t="s">
        <v>180</v>
      </c>
      <c r="E28" s="1" t="s">
        <v>5</v>
      </c>
      <c r="F28" s="1" t="s">
        <v>181</v>
      </c>
      <c r="G28" s="1" t="s">
        <v>182</v>
      </c>
      <c r="H28" s="1" t="s">
        <v>183</v>
      </c>
      <c r="I28" s="1" t="s">
        <v>184</v>
      </c>
    </row>
    <row r="29" spans="1:9" x14ac:dyDescent="0.35">
      <c r="A29" s="6" t="s">
        <v>12</v>
      </c>
      <c r="B29" s="26">
        <v>3.5</v>
      </c>
      <c r="C29" s="26">
        <v>1</v>
      </c>
      <c r="D29" s="27">
        <f>IF(AND(ISNUMBER(B29), ISNUMBER(C29)), B29*C29*$B$3, "")</f>
        <v>14</v>
      </c>
      <c r="E29" s="27">
        <f>IF(A29="","",VLOOKUP(A29, Base_Donnees!A:F, 6, FALSE))</f>
        <v>160</v>
      </c>
      <c r="F29" s="27">
        <f>IF(ISNUMBER(D29), D29*E29, "")</f>
        <v>2240</v>
      </c>
      <c r="G29" s="6">
        <f>IF(A29="","",IF(ISNUMBER(D29), IFERROR((D29/VLOOKUP(A29, Base_Donnees!A:F, 3, FALSE))*1000, "-"), ""))</f>
        <v>116.66666666666667</v>
      </c>
      <c r="H29" s="6" t="str">
        <f>IF(A29="","",VLOOKUP(A29, Base_Donnees!A:F, 4, FALSE))</f>
        <v>6 min</v>
      </c>
      <c r="I29" s="6" t="str">
        <f>IF(A29="","",VLOOKUP(A29, Base_Donnees!A:F, 5, FALSE))</f>
        <v>CRITIQUE : Isoler totalement des Sulfates/Phosphates.</v>
      </c>
    </row>
    <row r="31" spans="1:9" x14ac:dyDescent="0.35">
      <c r="A31" s="66" t="s">
        <v>185</v>
      </c>
      <c r="B31" s="65"/>
      <c r="C31" s="65"/>
      <c r="D31" s="65"/>
      <c r="E31" s="65"/>
      <c r="F31" s="65"/>
      <c r="G31" s="65"/>
      <c r="H31" s="65"/>
      <c r="I31" s="65"/>
    </row>
    <row r="32" spans="1:9" x14ac:dyDescent="0.35">
      <c r="A32" s="1" t="s">
        <v>177</v>
      </c>
      <c r="B32" s="1" t="s">
        <v>178</v>
      </c>
      <c r="C32" s="1" t="s">
        <v>179</v>
      </c>
      <c r="D32" s="1" t="s">
        <v>180</v>
      </c>
      <c r="E32" s="1" t="s">
        <v>5</v>
      </c>
      <c r="F32" s="1" t="s">
        <v>181</v>
      </c>
      <c r="G32" s="1" t="s">
        <v>182</v>
      </c>
      <c r="H32" s="1" t="s">
        <v>183</v>
      </c>
      <c r="I32" s="1" t="s">
        <v>184</v>
      </c>
    </row>
    <row r="33" spans="1:9" x14ac:dyDescent="0.35">
      <c r="A33" s="6"/>
      <c r="B33" s="26"/>
      <c r="C33" s="26"/>
      <c r="D33" s="27" t="str">
        <f>IF(AND(ISNUMBER(B33), ISNUMBER(C33)), B33*C33*$B$3, "")</f>
        <v/>
      </c>
      <c r="E33" s="27" t="str">
        <f>IF(A33="","",VLOOKUP(A33, Base_Donnees!A:F, 6, FALSE))</f>
        <v/>
      </c>
      <c r="F33" s="27" t="str">
        <f>IF(ISNUMBER(D33), D33*E33, "")</f>
        <v/>
      </c>
      <c r="G33" s="6" t="str">
        <f>IF(A33="","",IF(ISNUMBER(D33), IFERROR((D33/VLOOKUP(A33, Base_Donnees!A:F, 3, FALSE))*1000, "-"), ""))</f>
        <v/>
      </c>
      <c r="H33" s="6" t="str">
        <f>IF(A33="","",VLOOKUP(A33, Base_Donnees!A:F, 4, FALSE))</f>
        <v/>
      </c>
      <c r="I33" s="6" t="str">
        <f>IF(A33="","",VLOOKUP(A33, Base_Donnees!A:F, 5, FALSE))</f>
        <v/>
      </c>
    </row>
    <row r="35" spans="1:9" x14ac:dyDescent="0.35">
      <c r="A35" s="66" t="s">
        <v>186</v>
      </c>
      <c r="B35" s="65"/>
      <c r="C35" s="65"/>
      <c r="D35" s="65"/>
      <c r="E35" s="65"/>
      <c r="F35" s="65"/>
      <c r="G35" s="65"/>
      <c r="H35" s="65"/>
      <c r="I35" s="65"/>
    </row>
    <row r="36" spans="1:9" x14ac:dyDescent="0.35">
      <c r="A36" s="1" t="s">
        <v>177</v>
      </c>
      <c r="B36" s="1" t="s">
        <v>178</v>
      </c>
      <c r="C36" s="1" t="s">
        <v>179</v>
      </c>
      <c r="D36" s="1" t="s">
        <v>180</v>
      </c>
      <c r="E36" s="1" t="s">
        <v>5</v>
      </c>
      <c r="F36" s="1" t="s">
        <v>181</v>
      </c>
      <c r="G36" s="1" t="s">
        <v>182</v>
      </c>
      <c r="H36" s="1" t="s">
        <v>183</v>
      </c>
      <c r="I36" s="1" t="s">
        <v>184</v>
      </c>
    </row>
    <row r="37" spans="1:9" x14ac:dyDescent="0.35">
      <c r="A37" s="6"/>
      <c r="B37" s="26"/>
      <c r="C37" s="26"/>
      <c r="D37" s="27" t="str">
        <f>IF(AND(ISNUMBER(B37), ISNUMBER(C37)), B37*C37*$B$3, "")</f>
        <v/>
      </c>
      <c r="E37" s="27" t="str">
        <f>IF(A37="","",VLOOKUP(A37, Base_Donnees!A:F, 6, FALSE))</f>
        <v/>
      </c>
      <c r="F37" s="27" t="str">
        <f>IF(ISNUMBER(D37), D37*E37, "")</f>
        <v/>
      </c>
      <c r="G37" s="6" t="str">
        <f>IF(A37="","",IF(ISNUMBER(D37), IFERROR((D37/VLOOKUP(A37, Base_Donnees!A:F, 3, FALSE))*1000, "-"), ""))</f>
        <v/>
      </c>
      <c r="H37" s="6" t="str">
        <f>IF(A37="","",VLOOKUP(A37, Base_Donnees!A:F, 4, FALSE))</f>
        <v/>
      </c>
      <c r="I37" s="6" t="str">
        <f>IF(A37="","",VLOOKUP(A37, Base_Donnees!A:F, 5, FALSE))</f>
        <v/>
      </c>
    </row>
    <row r="39" spans="1:9" x14ac:dyDescent="0.35">
      <c r="A39" s="66" t="s">
        <v>187</v>
      </c>
      <c r="B39" s="65"/>
      <c r="C39" s="65"/>
      <c r="D39" s="65"/>
      <c r="E39" s="65"/>
      <c r="F39" s="65"/>
      <c r="G39" s="65"/>
      <c r="H39" s="65"/>
      <c r="I39" s="65"/>
    </row>
    <row r="40" spans="1:9" x14ac:dyDescent="0.35">
      <c r="A40" s="1" t="s">
        <v>177</v>
      </c>
      <c r="B40" s="1" t="s">
        <v>178</v>
      </c>
      <c r="C40" s="1" t="s">
        <v>179</v>
      </c>
      <c r="D40" s="1" t="s">
        <v>180</v>
      </c>
      <c r="E40" s="1" t="s">
        <v>5</v>
      </c>
      <c r="F40" s="1" t="s">
        <v>181</v>
      </c>
      <c r="G40" s="1" t="s">
        <v>182</v>
      </c>
      <c r="H40" s="1" t="s">
        <v>183</v>
      </c>
      <c r="I40" s="1" t="s">
        <v>184</v>
      </c>
    </row>
    <row r="41" spans="1:9" x14ac:dyDescent="0.35">
      <c r="A41" s="6" t="s">
        <v>55</v>
      </c>
      <c r="B41" s="26">
        <v>2</v>
      </c>
      <c r="C41" s="26">
        <v>1</v>
      </c>
      <c r="D41" s="27">
        <f>IF(AND(ISNUMBER(B41), ISNUMBER(C41)), B41*C41*$B$3, "")</f>
        <v>8</v>
      </c>
      <c r="E41" s="27">
        <f>IF(A41="","",VLOOKUP(A41, Base_Donnees!A:F, 6, FALSE))</f>
        <v>378.15</v>
      </c>
      <c r="F41" s="27">
        <f>IF(ISNUMBER(D41), D41*E41, "")</f>
        <v>3025.2</v>
      </c>
      <c r="G41" s="6">
        <f>IF(A41="","",IF(ISNUMBER(D41), IFERROR((D41/VLOOKUP(A41, Base_Donnees!A:F, 3, FALSE))*1000, "-"), ""))</f>
        <v>1.6</v>
      </c>
      <c r="H41" s="6" t="str">
        <f>IF(A41="","",VLOOKUP(A41, Base_Donnees!A:F, 4, FALSE))</f>
        <v>1 min</v>
      </c>
      <c r="I41" s="6" t="str">
        <f>IF(A41="","",VLOOKUP(A41, Base_Donnees!A:F, 5, FALSE))</f>
        <v>CORROSIF : Gants + lunettes obligatoires.</v>
      </c>
    </row>
    <row r="42" spans="1:9" x14ac:dyDescent="0.35">
      <c r="A42" s="6" t="s">
        <v>65</v>
      </c>
      <c r="B42" s="26">
        <v>1</v>
      </c>
      <c r="C42" s="26">
        <v>1</v>
      </c>
      <c r="D42" s="27">
        <f>IF(AND(ISNUMBER(B42), ISNUMBER(C42)), B42*C42*$B$3, "")</f>
        <v>4</v>
      </c>
      <c r="E42" s="27">
        <f>IF(A42="","",VLOOKUP(A42, Base_Donnees!A:F, 6, FALSE))</f>
        <v>410.55</v>
      </c>
      <c r="F42" s="27">
        <f>IF(ISNUMBER(D42), D42*E42, "")</f>
        <v>1642.2</v>
      </c>
      <c r="G42" s="6">
        <f>IF(A42="","",IF(ISNUMBER(D42), IFERROR((D42/VLOOKUP(A42, Base_Donnees!A:F, 3, FALSE))*1000, "-"), ""))</f>
        <v>6.7796610169491522</v>
      </c>
      <c r="H42" s="6" t="str">
        <f>IF(A42="","",VLOOKUP(A42, Base_Donnees!A:F, 4, FALSE))</f>
        <v>4 min</v>
      </c>
      <c r="I42" s="6" t="str">
        <f>IF(A42="","",VLOOKUP(A42, Base_Donnees!A:F, 5, FALSE))</f>
        <v>Idéal pour chélater et nettoyer les goutteurs.</v>
      </c>
    </row>
    <row r="44" spans="1:9" x14ac:dyDescent="0.35">
      <c r="E44" s="29" t="s">
        <v>189</v>
      </c>
      <c r="F44" s="30">
        <f>SUM(F10,F14,F15,F16,F20,F24,F29,F33,F37,F41,F42)</f>
        <v>16907.400000000001</v>
      </c>
    </row>
    <row r="46" spans="1:9" x14ac:dyDescent="0.35">
      <c r="A46" s="64" t="s">
        <v>190</v>
      </c>
      <c r="B46" s="65"/>
      <c r="C46" s="65"/>
      <c r="D46" s="65"/>
      <c r="E46" s="65"/>
      <c r="F46" s="65"/>
      <c r="G46" s="65"/>
      <c r="H46" s="65"/>
      <c r="I46" s="65"/>
    </row>
    <row r="47" spans="1:9" x14ac:dyDescent="0.35">
      <c r="A47" s="10" t="s">
        <v>191</v>
      </c>
      <c r="B47" s="10" t="s">
        <v>192</v>
      </c>
      <c r="C47" s="10" t="s">
        <v>193</v>
      </c>
      <c r="D47" s="10" t="s">
        <v>194</v>
      </c>
      <c r="E47" s="10" t="s">
        <v>5</v>
      </c>
      <c r="F47" s="10" t="s">
        <v>195</v>
      </c>
      <c r="G47" s="10" t="s">
        <v>196</v>
      </c>
      <c r="H47" s="10" t="s">
        <v>197</v>
      </c>
      <c r="I47" s="10"/>
    </row>
    <row r="48" spans="1:9" x14ac:dyDescent="0.35">
      <c r="A48" s="6" t="s">
        <v>81</v>
      </c>
      <c r="B48" s="26">
        <v>1.5</v>
      </c>
      <c r="C48" s="27">
        <f>$B$3</f>
        <v>4</v>
      </c>
      <c r="D48" s="27">
        <f>IF(ISNUMBER(B48), B48*C48, "")</f>
        <v>6</v>
      </c>
      <c r="E48" s="27">
        <f>IF(A48="","",VLOOKUP(A48, Base_Donnees!A:F, 6, FALSE))</f>
        <v>550</v>
      </c>
      <c r="F48" s="27">
        <f>IF(ISNUMBER(D48), D48*E48, "")</f>
        <v>3300</v>
      </c>
      <c r="G48" s="6" t="str">
        <f>IF(A48="","",VLOOKUP(A48, Base_Donnees!A:F, 5, FALSE))</f>
        <v>Appliquer aux stades critiques du fruit.</v>
      </c>
      <c r="H48" s="6" t="str">
        <f>IF(A48="","",VLOOKUP(A48, Base_Donnees!A:F, 4, FALSE))</f>
        <v>Fermeté fruit</v>
      </c>
      <c r="I48" s="6"/>
    </row>
    <row r="49" spans="1:9" x14ac:dyDescent="0.35">
      <c r="A49" s="6" t="s">
        <v>78</v>
      </c>
      <c r="B49" s="26">
        <v>1.5</v>
      </c>
      <c r="C49" s="27">
        <f>$B$3</f>
        <v>4</v>
      </c>
      <c r="D49" s="27">
        <f>IF(ISNUMBER(B49), B49*C49, "")</f>
        <v>6</v>
      </c>
      <c r="E49" s="27">
        <f>IF(A49="","",VLOOKUP(A49, Base_Donnees!A:F, 6, FALSE))</f>
        <v>2000</v>
      </c>
      <c r="F49" s="27">
        <f>IF(ISNUMBER(D49), D49*E49, "")</f>
        <v>12000</v>
      </c>
      <c r="G49" s="6" t="str">
        <f>IF(A49="","",VLOOKUP(A49, Base_Donnees!A:F, 5, FALSE))</f>
        <v>Soutien de la vigueur foliaire et division.</v>
      </c>
      <c r="H49" s="6" t="str">
        <f>IF(A49="","",VLOOKUP(A49, Base_Donnees!A:F, 4, FALSE))</f>
        <v>Extrait d'algues</v>
      </c>
      <c r="I49" s="6"/>
    </row>
    <row r="50" spans="1:9" x14ac:dyDescent="0.35">
      <c r="A50" s="6" t="s">
        <v>37</v>
      </c>
      <c r="B50" s="26">
        <v>1.5</v>
      </c>
      <c r="C50" s="27">
        <f>$B$3</f>
        <v>4</v>
      </c>
      <c r="D50" s="27">
        <f>IF(ISNUMBER(B50), B50*C50, "")</f>
        <v>6</v>
      </c>
      <c r="E50" s="27">
        <f>IF(A50="","",VLOOKUP(A50, Base_Donnees!A:F, 6, FALSE))</f>
        <v>3450</v>
      </c>
      <c r="F50" s="27">
        <f>IF(ISNUMBER(D50), D50*E50, "")</f>
        <v>20700</v>
      </c>
      <c r="G50" s="6" t="str">
        <f>IF(A50="","",VLOOKUP(A50, Base_Donnees!A:F, 5, FALSE))</f>
        <v>Mélange complet d'oligo-éléments chélatés.</v>
      </c>
      <c r="H50" s="6" t="str">
        <f>IF(A50="","",VLOOKUP(A50, Base_Donnees!A:F, 4, FALSE))</f>
        <v>10 min</v>
      </c>
      <c r="I50" s="6"/>
    </row>
    <row r="51" spans="1:9" x14ac:dyDescent="0.35">
      <c r="E51" s="29" t="s">
        <v>198</v>
      </c>
      <c r="F51" s="31">
        <f>SUM(F48,F49,F50)</f>
        <v>36000</v>
      </c>
    </row>
    <row r="53" spans="1:9" x14ac:dyDescent="0.35">
      <c r="A53" s="64" t="s">
        <v>199</v>
      </c>
      <c r="B53" s="65"/>
      <c r="C53" s="65"/>
      <c r="D53" s="65"/>
      <c r="E53" s="65"/>
      <c r="F53" s="65"/>
      <c r="G53" s="65"/>
      <c r="H53" s="65"/>
      <c r="I53" s="65"/>
    </row>
    <row r="54" spans="1:9" x14ac:dyDescent="0.35">
      <c r="A54" s="12" t="s">
        <v>200</v>
      </c>
      <c r="B54" s="12" t="s">
        <v>201</v>
      </c>
      <c r="C54" s="12" t="s">
        <v>193</v>
      </c>
      <c r="D54" s="12" t="s">
        <v>194</v>
      </c>
      <c r="E54" s="12" t="s">
        <v>5</v>
      </c>
      <c r="F54" s="12" t="s">
        <v>195</v>
      </c>
      <c r="G54" s="12" t="s">
        <v>202</v>
      </c>
      <c r="H54" s="12" t="s">
        <v>203</v>
      </c>
      <c r="I54" s="12" t="s">
        <v>204</v>
      </c>
    </row>
    <row r="55" spans="1:9" x14ac:dyDescent="0.35">
      <c r="A55" s="6" t="s">
        <v>109</v>
      </c>
      <c r="B55" s="26">
        <v>0.5</v>
      </c>
      <c r="C55" s="27">
        <f>$B$3</f>
        <v>4</v>
      </c>
      <c r="D55" s="27">
        <f>IF(ISNUMBER(B55), B55*C55, "")</f>
        <v>2</v>
      </c>
      <c r="E55" s="27">
        <f>IF(A55="","",VLOOKUP(A55, Base_Donnees!A:F, 6, FALSE))</f>
        <v>24000</v>
      </c>
      <c r="F55" s="27">
        <f>IF(ISNUMBER(D55), D55*E55, "")</f>
        <v>48000</v>
      </c>
      <c r="G55" s="6" t="str">
        <f>IF(A55="","",VLOOKUP(A55, Base_Donnees!A:F, 3, FALSE))</f>
        <v>7 Jours</v>
      </c>
      <c r="H55" s="6" t="str">
        <f>IF(A55="","",VLOOKUP(A55, Base_Donnees!A:F, 4, FALSE))</f>
        <v>Boscalid + Pyraclostrobine</v>
      </c>
      <c r="I55" s="6" t="str">
        <f>IF(A55="","",VLOOKUP(A55, Base_Donnees!A:F, 5, FALSE))</f>
        <v>Spécifique arbres à noyau (Coryneum du nectarinier, Oïdium)</v>
      </c>
    </row>
    <row r="56" spans="1:9" x14ac:dyDescent="0.35">
      <c r="A56" s="6"/>
      <c r="B56" s="26"/>
      <c r="C56" s="27">
        <f>$B$3</f>
        <v>4</v>
      </c>
      <c r="D56" s="27" t="str">
        <f>IF(ISNUMBER(B56), B56*C56, "")</f>
        <v/>
      </c>
      <c r="E56" s="27" t="str">
        <f>IF(A56="","",VLOOKUP(A56, Base_Donnees!A:F, 6, FALSE))</f>
        <v/>
      </c>
      <c r="F56" s="27" t="str">
        <f>IF(ISNUMBER(D56), D56*E56, "")</f>
        <v/>
      </c>
      <c r="G56" s="6" t="str">
        <f>IF(A56="","",VLOOKUP(A56, Base_Donnees!A:F, 3, FALSE))</f>
        <v/>
      </c>
      <c r="H56" s="6" t="str">
        <f>IF(A56="","",VLOOKUP(A56, Base_Donnees!A:F, 4, FALSE))</f>
        <v/>
      </c>
      <c r="I56" s="6" t="str">
        <f>IF(A56="","",VLOOKUP(A56, Base_Donnees!A:F, 5, FALSE))</f>
        <v/>
      </c>
    </row>
    <row r="57" spans="1:9" x14ac:dyDescent="0.35">
      <c r="A57" s="6"/>
      <c r="B57" s="26"/>
      <c r="C57" s="27">
        <f>$B$3</f>
        <v>4</v>
      </c>
      <c r="D57" s="27" t="str">
        <f>IF(ISNUMBER(B57), B57*C57, "")</f>
        <v/>
      </c>
      <c r="E57" s="27" t="str">
        <f>IF(A57="","",VLOOKUP(A57, Base_Donnees!A:F, 6, FALSE))</f>
        <v/>
      </c>
      <c r="F57" s="27" t="str">
        <f>IF(ISNUMBER(D57), D57*E57, "")</f>
        <v/>
      </c>
      <c r="G57" s="6" t="str">
        <f>IF(A57="","",VLOOKUP(A57, Base_Donnees!A:F, 3, FALSE))</f>
        <v/>
      </c>
      <c r="H57" s="6" t="str">
        <f>IF(A57="","",VLOOKUP(A57, Base_Donnees!A:F, 4, FALSE))</f>
        <v/>
      </c>
      <c r="I57" s="6" t="str">
        <f>IF(A57="","",VLOOKUP(A57, Base_Donnees!A:F, 5, FALSE))</f>
        <v/>
      </c>
    </row>
    <row r="58" spans="1:9" x14ac:dyDescent="0.35">
      <c r="E58" s="29" t="s">
        <v>205</v>
      </c>
      <c r="F58" s="31">
        <f>SUM(F55,F56,F57)</f>
        <v>48000</v>
      </c>
    </row>
  </sheetData>
  <mergeCells count="13">
    <mergeCell ref="A1:I1"/>
    <mergeCell ref="A18:I18"/>
    <mergeCell ref="A27:I27"/>
    <mergeCell ref="A8:I8"/>
    <mergeCell ref="A31:I31"/>
    <mergeCell ref="A22:I22"/>
    <mergeCell ref="A53:I53"/>
    <mergeCell ref="A12:I12"/>
    <mergeCell ref="A26:I26"/>
    <mergeCell ref="A35:I35"/>
    <mergeCell ref="A7:I7"/>
    <mergeCell ref="A46:I46"/>
    <mergeCell ref="A39:I3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8"/>
  <sheetViews>
    <sheetView topLeftCell="A22" workbookViewId="0">
      <selection activeCell="G30" sqref="G30"/>
    </sheetView>
  </sheetViews>
  <sheetFormatPr baseColWidth="10" defaultColWidth="8.7265625" defaultRowHeight="14.5" x14ac:dyDescent="0.35"/>
  <cols>
    <col min="1" max="1" width="42" customWidth="1"/>
    <col min="2" max="3" width="15" style="17" customWidth="1"/>
    <col min="4" max="4" width="20" style="17" customWidth="1"/>
    <col min="5" max="6" width="20" style="21" customWidth="1"/>
    <col min="7" max="7" width="15" customWidth="1"/>
    <col min="8" max="8" width="20" customWidth="1"/>
    <col min="9" max="9" width="45" customWidth="1"/>
  </cols>
  <sheetData>
    <row r="1" spans="1:9" ht="19" x14ac:dyDescent="0.35">
      <c r="A1" s="68" t="s">
        <v>206</v>
      </c>
      <c r="B1" s="65"/>
      <c r="C1" s="65"/>
      <c r="D1" s="65"/>
      <c r="E1" s="65"/>
      <c r="F1" s="65"/>
      <c r="G1" s="65"/>
      <c r="H1" s="65"/>
      <c r="I1" s="65"/>
    </row>
    <row r="3" spans="1:9" x14ac:dyDescent="0.35">
      <c r="A3" t="s">
        <v>170</v>
      </c>
      <c r="B3" s="25">
        <v>2</v>
      </c>
    </row>
    <row r="4" spans="1:9" x14ac:dyDescent="0.35">
      <c r="A4" t="s">
        <v>171</v>
      </c>
      <c r="B4" s="25" t="s">
        <v>172</v>
      </c>
    </row>
    <row r="5" spans="1:9" x14ac:dyDescent="0.35">
      <c r="A5" t="s">
        <v>173</v>
      </c>
      <c r="B5" s="28" t="s">
        <v>220</v>
      </c>
    </row>
    <row r="7" spans="1:9" ht="16.5" x14ac:dyDescent="0.35">
      <c r="A7" s="67" t="s">
        <v>175</v>
      </c>
      <c r="B7" s="65"/>
      <c r="C7" s="65"/>
      <c r="D7" s="65"/>
      <c r="E7" s="65"/>
      <c r="F7" s="65"/>
      <c r="G7" s="65"/>
      <c r="H7" s="65"/>
      <c r="I7" s="65"/>
    </row>
    <row r="8" spans="1:9" x14ac:dyDescent="0.35">
      <c r="A8" s="66" t="s">
        <v>176</v>
      </c>
      <c r="B8" s="65"/>
      <c r="C8" s="65"/>
      <c r="D8" s="65"/>
      <c r="E8" s="65"/>
      <c r="F8" s="65"/>
      <c r="G8" s="65"/>
      <c r="H8" s="65"/>
      <c r="I8" s="65"/>
    </row>
    <row r="9" spans="1:9" x14ac:dyDescent="0.35">
      <c r="A9" s="1" t="s">
        <v>177</v>
      </c>
      <c r="B9" s="1" t="s">
        <v>178</v>
      </c>
      <c r="C9" s="1" t="s">
        <v>179</v>
      </c>
      <c r="D9" s="1" t="s">
        <v>180</v>
      </c>
      <c r="E9" s="32" t="s">
        <v>5</v>
      </c>
      <c r="F9" s="32" t="s">
        <v>181</v>
      </c>
      <c r="G9" s="1" t="s">
        <v>182</v>
      </c>
      <c r="H9" s="1" t="s">
        <v>183</v>
      </c>
      <c r="I9" s="1" t="s">
        <v>184</v>
      </c>
    </row>
    <row r="10" spans="1:9" x14ac:dyDescent="0.35">
      <c r="A10" s="6"/>
      <c r="B10" s="26"/>
      <c r="C10" s="26"/>
      <c r="D10" s="27" t="str">
        <f>IF(AND(ISNUMBER(B10), ISNUMBER(C10)), B10*C10*$B$3, "")</f>
        <v/>
      </c>
      <c r="E10" s="33" t="str">
        <f>IF(A10="","",VLOOKUP(A10, Base_Donnees!A:F, 6, FALSE))</f>
        <v/>
      </c>
      <c r="F10" s="33" t="str">
        <f>IF(ISNUMBER(D10), D10*E10, "")</f>
        <v/>
      </c>
      <c r="G10" s="6" t="str">
        <f>IF(A10="","",IF(ISNUMBER(D10), IFERROR((D10/VLOOKUP(A10, Base_Donnees!A:F, 3, FALSE))*1000, "-"), ""))</f>
        <v/>
      </c>
      <c r="H10" s="6" t="str">
        <f>IF(A10="","",VLOOKUP(A10, Base_Donnees!A:F, 4, FALSE))</f>
        <v/>
      </c>
      <c r="I10" s="6" t="str">
        <f>IF(A10="","",VLOOKUP(A10, Base_Donnees!A:F, 5, FALSE))</f>
        <v/>
      </c>
    </row>
    <row r="12" spans="1:9" x14ac:dyDescent="0.35">
      <c r="A12" s="66" t="s">
        <v>185</v>
      </c>
      <c r="B12" s="65"/>
      <c r="C12" s="65"/>
      <c r="D12" s="65"/>
      <c r="E12" s="65"/>
      <c r="F12" s="65"/>
      <c r="G12" s="65"/>
      <c r="H12" s="65"/>
      <c r="I12" s="65"/>
    </row>
    <row r="13" spans="1:9" x14ac:dyDescent="0.35">
      <c r="A13" s="1" t="s">
        <v>177</v>
      </c>
      <c r="B13" s="1" t="s">
        <v>178</v>
      </c>
      <c r="C13" s="1" t="s">
        <v>179</v>
      </c>
      <c r="D13" s="1" t="s">
        <v>180</v>
      </c>
      <c r="E13" s="32" t="s">
        <v>5</v>
      </c>
      <c r="F13" s="32" t="s">
        <v>181</v>
      </c>
      <c r="G13" s="1" t="s">
        <v>182</v>
      </c>
      <c r="H13" s="1" t="s">
        <v>183</v>
      </c>
      <c r="I13" s="1" t="s">
        <v>184</v>
      </c>
    </row>
    <row r="14" spans="1:9" x14ac:dyDescent="0.35">
      <c r="A14" s="6"/>
      <c r="B14" s="26"/>
      <c r="C14" s="26"/>
      <c r="D14" s="27" t="str">
        <f>IF(AND(ISNUMBER(B14), ISNUMBER(C14)), B14*C14*$B$3, "")</f>
        <v/>
      </c>
      <c r="E14" s="33" t="str">
        <f>IF(A14="","",VLOOKUP(A14, Base_Donnees!A:F, 6, FALSE))</f>
        <v/>
      </c>
      <c r="F14" s="33" t="str">
        <f>IF(ISNUMBER(D14), D14*E14, "")</f>
        <v/>
      </c>
      <c r="G14" s="6" t="str">
        <f>IF(A14="","",IF(ISNUMBER(D14), IFERROR((D14/VLOOKUP(A14, Base_Donnees!A:F, 3, FALSE))*1000, "-"), ""))</f>
        <v/>
      </c>
      <c r="H14" s="6" t="str">
        <f>IF(A14="","",VLOOKUP(A14, Base_Donnees!A:F, 4, FALSE))</f>
        <v/>
      </c>
      <c r="I14" s="6" t="str">
        <f>IF(A14="","",VLOOKUP(A14, Base_Donnees!A:F, 5, FALSE))</f>
        <v/>
      </c>
    </row>
    <row r="16" spans="1:9" x14ac:dyDescent="0.35">
      <c r="A16" s="66" t="s">
        <v>186</v>
      </c>
      <c r="B16" s="65"/>
      <c r="C16" s="65"/>
      <c r="D16" s="65"/>
      <c r="E16" s="65"/>
      <c r="F16" s="65"/>
      <c r="G16" s="65"/>
      <c r="H16" s="65"/>
      <c r="I16" s="65"/>
    </row>
    <row r="17" spans="1:9" x14ac:dyDescent="0.35">
      <c r="A17" s="1" t="s">
        <v>177</v>
      </c>
      <c r="B17" s="1" t="s">
        <v>178</v>
      </c>
      <c r="C17" s="1" t="s">
        <v>179</v>
      </c>
      <c r="D17" s="1" t="s">
        <v>180</v>
      </c>
      <c r="E17" s="32" t="s">
        <v>5</v>
      </c>
      <c r="F17" s="32" t="s">
        <v>181</v>
      </c>
      <c r="G17" s="1" t="s">
        <v>182</v>
      </c>
      <c r="H17" s="1" t="s">
        <v>183</v>
      </c>
      <c r="I17" s="1" t="s">
        <v>184</v>
      </c>
    </row>
    <row r="18" spans="1:9" x14ac:dyDescent="0.35">
      <c r="A18" s="6" t="s">
        <v>50</v>
      </c>
      <c r="B18" s="26">
        <v>2.5</v>
      </c>
      <c r="C18" s="26">
        <v>1</v>
      </c>
      <c r="D18" s="27">
        <f>IF(AND(ISNUMBER(B18), ISNUMBER(C18)), B18*C18*$B$3, "")</f>
        <v>5</v>
      </c>
      <c r="E18" s="33">
        <f>IF(A18="","",VLOOKUP(A18, Base_Donnees!A:F, 6, FALSE))</f>
        <v>2200</v>
      </c>
      <c r="F18" s="33">
        <f>IF(ISNUMBER(D18), D18*E18, "")</f>
        <v>11000</v>
      </c>
      <c r="G18" s="6" t="str">
        <f>IF(A18="","",IF(ISNUMBER(D18), IFERROR((D18/VLOOKUP(A18, Base_Donnees!A:F, 3, FALSE))*1000, "-"), ""))</f>
        <v>-</v>
      </c>
      <c r="H18" s="6" t="str">
        <f>IF(A18="","",VLOOKUP(A18, Base_Donnees!A:F, 4, FALSE))</f>
        <v>-</v>
      </c>
      <c r="I18" s="6" t="str">
        <f>IF(A18="","",VLOOKUP(A18, Base_Donnees!A:F, 5, FALSE))</f>
        <v>Stimulant organique complexe à injecter à part.</v>
      </c>
    </row>
    <row r="20" spans="1:9" x14ac:dyDescent="0.35">
      <c r="A20" s="66" t="s">
        <v>187</v>
      </c>
      <c r="B20" s="65"/>
      <c r="C20" s="65"/>
      <c r="D20" s="65"/>
      <c r="E20" s="65"/>
      <c r="F20" s="65"/>
      <c r="G20" s="65"/>
      <c r="H20" s="65"/>
      <c r="I20" s="65"/>
    </row>
    <row r="21" spans="1:9" x14ac:dyDescent="0.35">
      <c r="A21" s="1" t="s">
        <v>177</v>
      </c>
      <c r="B21" s="1" t="s">
        <v>178</v>
      </c>
      <c r="C21" s="1" t="s">
        <v>179</v>
      </c>
      <c r="D21" s="1" t="s">
        <v>180</v>
      </c>
      <c r="E21" s="32" t="s">
        <v>5</v>
      </c>
      <c r="F21" s="32" t="s">
        <v>181</v>
      </c>
      <c r="G21" s="1" t="s">
        <v>182</v>
      </c>
      <c r="H21" s="1" t="s">
        <v>183</v>
      </c>
      <c r="I21" s="1" t="s">
        <v>184</v>
      </c>
    </row>
    <row r="22" spans="1:9" x14ac:dyDescent="0.35">
      <c r="A22" s="6" t="s">
        <v>63</v>
      </c>
      <c r="B22" s="26">
        <v>2.5</v>
      </c>
      <c r="C22" s="26">
        <v>1</v>
      </c>
      <c r="D22" s="27">
        <f>IF(AND(ISNUMBER(B22), ISNUMBER(C22)), B22*C22*$B$3, "")</f>
        <v>5</v>
      </c>
      <c r="E22" s="33">
        <f>IF(A22="","",VLOOKUP(A22, Base_Donnees!A:F, 6, FALSE))</f>
        <v>500</v>
      </c>
      <c r="F22" s="33">
        <f>IF(ISNUMBER(D22), D22*E22, "")</f>
        <v>2500</v>
      </c>
      <c r="G22" s="6">
        <f>IF(A22="","",IF(ISNUMBER(D22), IFERROR((D22/VLOOKUP(A22, Base_Donnees!A:F, 3, FALSE))*1000, "-"), ""))</f>
        <v>1</v>
      </c>
      <c r="H22" s="6" t="str">
        <f>IF(A22="","",VLOOKUP(A22, Base_Donnees!A:F, 4, FALSE))</f>
        <v>1 min</v>
      </c>
      <c r="I22" s="6" t="str">
        <f>IF(A22="","",VLOOKUP(A22, Base_Donnees!A:F, 5, FALSE))</f>
        <v>Sécurité : Toujours verser l'acide dans l'eau.</v>
      </c>
    </row>
    <row r="24" spans="1:9" x14ac:dyDescent="0.35">
      <c r="E24" s="34" t="s">
        <v>189</v>
      </c>
      <c r="F24" s="35">
        <f>SUM(F10,F14,F18,F22)</f>
        <v>13500</v>
      </c>
    </row>
    <row r="26" spans="1:9" x14ac:dyDescent="0.35">
      <c r="A26" s="64" t="s">
        <v>190</v>
      </c>
      <c r="B26" s="65"/>
      <c r="C26" s="65"/>
      <c r="D26" s="65"/>
      <c r="E26" s="65"/>
      <c r="F26" s="65"/>
      <c r="G26" s="65"/>
      <c r="H26" s="65"/>
      <c r="I26" s="65"/>
    </row>
    <row r="27" spans="1:9" x14ac:dyDescent="0.35">
      <c r="A27" s="10" t="s">
        <v>191</v>
      </c>
      <c r="B27" s="10" t="s">
        <v>192</v>
      </c>
      <c r="C27" s="10" t="s">
        <v>193</v>
      </c>
      <c r="D27" s="10" t="s">
        <v>194</v>
      </c>
      <c r="E27" s="36" t="s">
        <v>5</v>
      </c>
      <c r="F27" s="36" t="s">
        <v>195</v>
      </c>
      <c r="G27" s="10" t="s">
        <v>196</v>
      </c>
      <c r="H27" s="10" t="s">
        <v>197</v>
      </c>
      <c r="I27" s="10"/>
    </row>
    <row r="28" spans="1:9" x14ac:dyDescent="0.35">
      <c r="A28" s="6" t="s">
        <v>84</v>
      </c>
      <c r="B28" s="26">
        <v>3</v>
      </c>
      <c r="C28" s="27">
        <f>$B$3</f>
        <v>2</v>
      </c>
      <c r="D28" s="27">
        <f>IF(ISNUMBER(B28), B28*C28, "")</f>
        <v>6</v>
      </c>
      <c r="E28" s="33">
        <f>IF(A28="","",VLOOKUP(A28, Base_Donnees!A:F, 6, FALSE))</f>
        <v>400</v>
      </c>
      <c r="F28" s="33">
        <f>IF(ISNUMBER(D28), D28*E28, "")</f>
        <v>2400</v>
      </c>
      <c r="G28" s="6" t="str">
        <f>IF(A28="","",VLOOKUP(A28, Base_Donnees!A:F, 5, FALSE))</f>
        <v>Traitement préventif oïdium/tavelure.</v>
      </c>
      <c r="H28" s="6" t="str">
        <f>IF(A28="","",VLOOKUP(A28, Base_Donnees!A:F, 4, FALSE))</f>
        <v>Fongicide</v>
      </c>
      <c r="I28" s="6"/>
    </row>
    <row r="29" spans="1:9" x14ac:dyDescent="0.35">
      <c r="A29" s="6"/>
      <c r="B29" s="26"/>
      <c r="C29" s="27">
        <f>$B$3</f>
        <v>2</v>
      </c>
      <c r="D29" s="27" t="str">
        <f>IF(ISNUMBER(B29), B29*C29, "")</f>
        <v/>
      </c>
      <c r="E29" s="33" t="str">
        <f>IF(A29="","",VLOOKUP(A29, Base_Donnees!A:F, 6, FALSE))</f>
        <v/>
      </c>
      <c r="F29" s="33" t="str">
        <f>IF(ISNUMBER(D29), D29*E29, "")</f>
        <v/>
      </c>
      <c r="G29" s="6" t="str">
        <f>IF(A29="","",VLOOKUP(A29, Base_Donnees!A:F, 5, FALSE))</f>
        <v/>
      </c>
      <c r="H29" s="6" t="str">
        <f>IF(A29="","",VLOOKUP(A29, Base_Donnees!A:F, 4, FALSE))</f>
        <v/>
      </c>
      <c r="I29" s="6"/>
    </row>
    <row r="30" spans="1:9" x14ac:dyDescent="0.35">
      <c r="A30" s="6"/>
      <c r="B30" s="26"/>
      <c r="C30" s="27">
        <f>$B$3</f>
        <v>2</v>
      </c>
      <c r="D30" s="27" t="str">
        <f>IF(ISNUMBER(B30), B30*C30, "")</f>
        <v/>
      </c>
      <c r="E30" s="33" t="str">
        <f>IF(A30="","",VLOOKUP(A30, Base_Donnees!A:F, 6, FALSE))</f>
        <v/>
      </c>
      <c r="F30" s="33" t="str">
        <f>IF(ISNUMBER(D30), D30*E30, "")</f>
        <v/>
      </c>
      <c r="G30" s="6" t="str">
        <f>IF(A30="","",VLOOKUP(A30, Base_Donnees!A:F, 5, FALSE))</f>
        <v/>
      </c>
      <c r="H30" s="6" t="str">
        <f>IF(A30="","",VLOOKUP(A30, Base_Donnees!A:F, 4, FALSE))</f>
        <v/>
      </c>
      <c r="I30" s="6"/>
    </row>
    <row r="31" spans="1:9" x14ac:dyDescent="0.35">
      <c r="E31" s="34" t="s">
        <v>198</v>
      </c>
      <c r="F31" s="37">
        <f>SUM(F28,F29,F30)</f>
        <v>2400</v>
      </c>
    </row>
    <row r="33" spans="1:9" x14ac:dyDescent="0.35">
      <c r="A33" s="64" t="s">
        <v>199</v>
      </c>
      <c r="B33" s="65"/>
      <c r="C33" s="65"/>
      <c r="D33" s="65"/>
      <c r="E33" s="65"/>
      <c r="F33" s="65"/>
      <c r="G33" s="65"/>
      <c r="H33" s="65"/>
      <c r="I33" s="65"/>
    </row>
    <row r="34" spans="1:9" x14ac:dyDescent="0.35">
      <c r="A34" s="12" t="s">
        <v>200</v>
      </c>
      <c r="B34" s="12" t="s">
        <v>201</v>
      </c>
      <c r="C34" s="12" t="s">
        <v>193</v>
      </c>
      <c r="D34" s="12" t="s">
        <v>194</v>
      </c>
      <c r="E34" s="38" t="s">
        <v>5</v>
      </c>
      <c r="F34" s="38" t="s">
        <v>195</v>
      </c>
      <c r="G34" s="12" t="s">
        <v>202</v>
      </c>
      <c r="H34" s="12" t="s">
        <v>203</v>
      </c>
      <c r="I34" s="12" t="s">
        <v>204</v>
      </c>
    </row>
    <row r="35" spans="1:9" x14ac:dyDescent="0.35">
      <c r="A35" s="6"/>
      <c r="B35" s="26"/>
      <c r="C35" s="27">
        <f>$B$3</f>
        <v>2</v>
      </c>
      <c r="D35" s="27" t="str">
        <f>IF(ISNUMBER(B35), B35*C35, "")</f>
        <v/>
      </c>
      <c r="E35" s="33" t="str">
        <f>IF(A35="","",VLOOKUP(A35, Base_Donnees!A:F, 6, FALSE))</f>
        <v/>
      </c>
      <c r="F35" s="33" t="str">
        <f>IF(ISNUMBER(D35), D35*E35, "")</f>
        <v/>
      </c>
      <c r="G35" s="6" t="str">
        <f>IF(A35="","",VLOOKUP(A35, Base_Donnees!A:F, 3, FALSE))</f>
        <v/>
      </c>
      <c r="H35" s="6" t="str">
        <f>IF(A35="","",VLOOKUP(A35, Base_Donnees!A:F, 4, FALSE))</f>
        <v/>
      </c>
      <c r="I35" s="6" t="str">
        <f>IF(A35="","",VLOOKUP(A35, Base_Donnees!A:F, 5, FALSE))</f>
        <v/>
      </c>
    </row>
    <row r="36" spans="1:9" x14ac:dyDescent="0.35">
      <c r="A36" s="6"/>
      <c r="B36" s="26"/>
      <c r="C36" s="27">
        <f>$B$3</f>
        <v>2</v>
      </c>
      <c r="D36" s="27" t="str">
        <f>IF(ISNUMBER(B36), B36*C36, "")</f>
        <v/>
      </c>
      <c r="E36" s="33" t="str">
        <f>IF(A36="","",VLOOKUP(A36, Base_Donnees!A:F, 6, FALSE))</f>
        <v/>
      </c>
      <c r="F36" s="33" t="str">
        <f>IF(ISNUMBER(D36), D36*E36, "")</f>
        <v/>
      </c>
      <c r="G36" s="6" t="str">
        <f>IF(A36="","",VLOOKUP(A36, Base_Donnees!A:F, 3, FALSE))</f>
        <v/>
      </c>
      <c r="H36" s="6" t="str">
        <f>IF(A36="","",VLOOKUP(A36, Base_Donnees!A:F, 4, FALSE))</f>
        <v/>
      </c>
      <c r="I36" s="6" t="str">
        <f>IF(A36="","",VLOOKUP(A36, Base_Donnees!A:F, 5, FALSE))</f>
        <v/>
      </c>
    </row>
    <row r="37" spans="1:9" x14ac:dyDescent="0.35">
      <c r="A37" s="6"/>
      <c r="B37" s="26"/>
      <c r="C37" s="27">
        <f>$B$3</f>
        <v>2</v>
      </c>
      <c r="D37" s="27" t="str">
        <f>IF(ISNUMBER(B37), B37*C37, "")</f>
        <v/>
      </c>
      <c r="E37" s="33" t="str">
        <f>IF(A37="","",VLOOKUP(A37, Base_Donnees!A:F, 6, FALSE))</f>
        <v/>
      </c>
      <c r="F37" s="33" t="str">
        <f>IF(ISNUMBER(D37), D37*E37, "")</f>
        <v/>
      </c>
      <c r="G37" s="6" t="str">
        <f>IF(A37="","",VLOOKUP(A37, Base_Donnees!A:F, 3, FALSE))</f>
        <v/>
      </c>
      <c r="H37" s="6" t="str">
        <f>IF(A37="","",VLOOKUP(A37, Base_Donnees!A:F, 4, FALSE))</f>
        <v/>
      </c>
      <c r="I37" s="6" t="str">
        <f>IF(A37="","",VLOOKUP(A37, Base_Donnees!A:F, 5, FALSE))</f>
        <v/>
      </c>
    </row>
    <row r="38" spans="1:9" x14ac:dyDescent="0.35">
      <c r="E38" s="34" t="s">
        <v>205</v>
      </c>
      <c r="F38" s="37">
        <f>SUM(F35,F36,F37)</f>
        <v>0</v>
      </c>
    </row>
  </sheetData>
  <mergeCells count="8">
    <mergeCell ref="A7:I7"/>
    <mergeCell ref="A26:I26"/>
    <mergeCell ref="A33:I33"/>
    <mergeCell ref="A1:I1"/>
    <mergeCell ref="A8:I8"/>
    <mergeCell ref="A12:I12"/>
    <mergeCell ref="A20:I20"/>
    <mergeCell ref="A16:I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7"/>
  <sheetViews>
    <sheetView topLeftCell="A37" zoomScale="90" zoomScaleNormal="90" workbookViewId="0">
      <selection activeCell="A52" sqref="A52:I52"/>
    </sheetView>
  </sheetViews>
  <sheetFormatPr baseColWidth="10" defaultColWidth="8.7265625" defaultRowHeight="14.5" x14ac:dyDescent="0.35"/>
  <cols>
    <col min="1" max="1" width="42" customWidth="1"/>
    <col min="2" max="3" width="15" style="17" customWidth="1"/>
    <col min="4" max="5" width="20" customWidth="1"/>
    <col min="6" max="6" width="20" style="21" customWidth="1"/>
    <col min="7" max="7" width="15" customWidth="1"/>
    <col min="8" max="8" width="20" customWidth="1"/>
    <col min="9" max="9" width="45" customWidth="1"/>
  </cols>
  <sheetData>
    <row r="1" spans="1:9" ht="19" x14ac:dyDescent="0.35">
      <c r="A1" s="68" t="s">
        <v>208</v>
      </c>
      <c r="B1" s="65"/>
      <c r="C1" s="65"/>
      <c r="D1" s="65"/>
      <c r="E1" s="65"/>
      <c r="F1" s="65"/>
      <c r="G1" s="65"/>
      <c r="H1" s="65"/>
      <c r="I1" s="65"/>
    </row>
    <row r="3" spans="1:9" x14ac:dyDescent="0.35">
      <c r="A3" t="s">
        <v>170</v>
      </c>
      <c r="B3" s="25">
        <v>8</v>
      </c>
    </row>
    <row r="4" spans="1:9" x14ac:dyDescent="0.35">
      <c r="A4" t="s">
        <v>171</v>
      </c>
      <c r="B4" s="25" t="s">
        <v>209</v>
      </c>
    </row>
    <row r="5" spans="1:9" x14ac:dyDescent="0.35">
      <c r="A5" t="s">
        <v>173</v>
      </c>
      <c r="B5" s="28" t="s">
        <v>223</v>
      </c>
    </row>
    <row r="7" spans="1:9" ht="16.5" x14ac:dyDescent="0.35">
      <c r="A7" s="67" t="s">
        <v>175</v>
      </c>
      <c r="B7" s="65"/>
      <c r="C7" s="65"/>
      <c r="D7" s="65"/>
      <c r="E7" s="65"/>
      <c r="F7" s="65"/>
      <c r="G7" s="65"/>
      <c r="H7" s="65"/>
      <c r="I7" s="65"/>
    </row>
    <row r="8" spans="1:9" x14ac:dyDescent="0.35">
      <c r="A8" s="66" t="s">
        <v>176</v>
      </c>
      <c r="B8" s="65"/>
      <c r="C8" s="65"/>
      <c r="D8" s="65"/>
      <c r="E8" s="65"/>
      <c r="F8" s="65"/>
      <c r="G8" s="65"/>
      <c r="H8" s="65"/>
      <c r="I8" s="65"/>
    </row>
    <row r="9" spans="1:9" x14ac:dyDescent="0.35">
      <c r="A9" s="1" t="s">
        <v>177</v>
      </c>
      <c r="B9" s="1" t="s">
        <v>178</v>
      </c>
      <c r="C9" s="1" t="s">
        <v>179</v>
      </c>
      <c r="D9" s="1" t="s">
        <v>180</v>
      </c>
      <c r="E9" s="1" t="s">
        <v>5</v>
      </c>
      <c r="F9" s="32" t="s">
        <v>181</v>
      </c>
      <c r="G9" s="1" t="s">
        <v>182</v>
      </c>
      <c r="H9" s="1" t="s">
        <v>183</v>
      </c>
      <c r="I9" s="1" t="s">
        <v>184</v>
      </c>
    </row>
    <row r="10" spans="1:9" x14ac:dyDescent="0.35">
      <c r="A10" s="6"/>
      <c r="B10" s="26"/>
      <c r="C10" s="26"/>
      <c r="D10" s="6" t="str">
        <f>IF(AND(ISNUMBER(B10), ISNUMBER(C10)), B10*C10*$B$3, "")</f>
        <v/>
      </c>
      <c r="E10" s="6" t="str">
        <f>IF(A10="","",VLOOKUP(A10, Base_Donnees!A:F, 6, FALSE))</f>
        <v/>
      </c>
      <c r="F10" s="33" t="str">
        <f>IF(ISNUMBER(D10), D10*E10, "")</f>
        <v/>
      </c>
      <c r="G10" s="6" t="str">
        <f>IF(A10="","",IF(ISNUMBER(D10), IFERROR((D10/VLOOKUP(A10, Base_Donnees!A:F, 3, FALSE))*1000, "-"), ""))</f>
        <v/>
      </c>
      <c r="H10" s="6" t="str">
        <f>IF(A10="","",VLOOKUP(A10, Base_Donnees!A:F, 4, FALSE))</f>
        <v/>
      </c>
      <c r="I10" s="6" t="str">
        <f>IF(A10="","",VLOOKUP(A10, Base_Donnees!A:F, 5, FALSE))</f>
        <v/>
      </c>
    </row>
    <row r="12" spans="1:9" x14ac:dyDescent="0.35">
      <c r="A12" s="66" t="s">
        <v>185</v>
      </c>
      <c r="B12" s="65"/>
      <c r="C12" s="65"/>
      <c r="D12" s="65"/>
      <c r="E12" s="65"/>
      <c r="F12" s="65"/>
      <c r="G12" s="65"/>
      <c r="H12" s="65"/>
      <c r="I12" s="65"/>
    </row>
    <row r="13" spans="1:9" x14ac:dyDescent="0.35">
      <c r="A13" s="1" t="s">
        <v>177</v>
      </c>
      <c r="B13" s="1" t="s">
        <v>178</v>
      </c>
      <c r="C13" s="1" t="s">
        <v>179</v>
      </c>
      <c r="D13" s="1" t="s">
        <v>180</v>
      </c>
      <c r="E13" s="1" t="s">
        <v>5</v>
      </c>
      <c r="F13" s="32" t="s">
        <v>181</v>
      </c>
      <c r="G13" s="1" t="s">
        <v>182</v>
      </c>
      <c r="H13" s="1" t="s">
        <v>183</v>
      </c>
      <c r="I13" s="1" t="s">
        <v>184</v>
      </c>
    </row>
    <row r="14" spans="1:9" x14ac:dyDescent="0.35">
      <c r="A14" s="6" t="s">
        <v>19</v>
      </c>
      <c r="B14" s="26">
        <v>2</v>
      </c>
      <c r="C14" s="26">
        <v>1</v>
      </c>
      <c r="D14" s="6">
        <f>IF(AND(ISNUMBER(B14), ISNUMBER(C14)), B14*C14*$B$3, "")</f>
        <v>16</v>
      </c>
      <c r="E14" s="6">
        <f>IF(A14="","",VLOOKUP(A14, Base_Donnees!A:F, 6, FALSE))</f>
        <v>45</v>
      </c>
      <c r="F14" s="33">
        <f>IF(ISNUMBER(D14), D14*E14, "")</f>
        <v>720</v>
      </c>
      <c r="G14" s="6">
        <f>IF(A14="","",IF(ISNUMBER(D14), IFERROR((D14/VLOOKUP(A14, Base_Donnees!A:F, 3, FALSE))*1000, "-"), ""))</f>
        <v>152.38095238095241</v>
      </c>
      <c r="H14" s="6" t="str">
        <f>IF(A14="","",VLOOKUP(A14, Base_Donnees!A:F, 4, FALSE))</f>
        <v>5 min</v>
      </c>
      <c r="I14" s="6" t="str">
        <f>IF(A14="","",VLOOKUP(A14, Base_Donnees!A:F, 5, FALSE))</f>
        <v>Très soluble. Refroidit l'eau (endothermique).</v>
      </c>
    </row>
    <row r="15" spans="1:9" x14ac:dyDescent="0.35">
      <c r="A15" s="6" t="s">
        <v>24</v>
      </c>
      <c r="B15" s="26">
        <v>3.5</v>
      </c>
      <c r="C15" s="26">
        <v>1</v>
      </c>
      <c r="D15" s="6">
        <f>IF(AND(ISNUMBER(B15), ISNUMBER(C15)), B15*C15*$B$3, "")</f>
        <v>28</v>
      </c>
      <c r="E15" s="6">
        <f>IF(A15="","",VLOOKUP(A15, Base_Donnees!A:F, 6, FALSE))</f>
        <v>26</v>
      </c>
      <c r="F15" s="33">
        <f>IF(ISNUMBER(D15), D15*E15, "")</f>
        <v>728</v>
      </c>
      <c r="G15" s="6">
        <f>IF(A15="","",IF(ISNUMBER(D15), IFERROR((D15/VLOOKUP(A15, Base_Donnees!A:F, 3, FALSE))*1000, "-"), ""))</f>
        <v>933.33333333333337</v>
      </c>
      <c r="H15" s="6" t="str">
        <f>IF(A15="","",VLOOKUP(A15, Base_Donnees!A:F, 4, FALSE))</f>
        <v>15 min</v>
      </c>
      <c r="I15" s="6" t="str">
        <f>IF(A15="","",VLOOKUP(A15, Base_Donnees!A:F, 5, FALSE))</f>
        <v>Sensible à l'eau froide du puits.</v>
      </c>
    </row>
    <row r="16" spans="1:9" x14ac:dyDescent="0.35">
      <c r="A16" s="6" t="s">
        <v>32</v>
      </c>
      <c r="B16" s="26">
        <v>2</v>
      </c>
      <c r="C16" s="26">
        <v>1</v>
      </c>
      <c r="D16" s="6">
        <f>IF(AND(ISNUMBER(B16), ISNUMBER(C16)), B16*C16*$B$3, "")</f>
        <v>16</v>
      </c>
      <c r="E16" s="6">
        <f>IF(A16="","",VLOOKUP(A16, Base_Donnees!A:F, 6, FALSE))</f>
        <v>260</v>
      </c>
      <c r="F16" s="33">
        <f>IF(ISNUMBER(D16), D16*E16, "")</f>
        <v>4160</v>
      </c>
      <c r="G16" s="6">
        <f>IF(A16="","",IF(ISNUMBER(D16), IFERROR((D16/VLOOKUP(A16, Base_Donnees!A:F, 3, FALSE))*1000, "-"), ""))</f>
        <v>228.57142857142856</v>
      </c>
      <c r="H16" s="6" t="str">
        <f>IF(A16="","",VLOOKUP(A16, Base_Donnees!A:F, 4, FALSE))</f>
        <v>8 min</v>
      </c>
      <c r="I16" s="6" t="str">
        <f>IF(A16="","",VLOOKUP(A16, Base_Donnees!A:F, 5, FALSE))</f>
        <v>Excellente source de magnésium soluble.</v>
      </c>
    </row>
    <row r="18" spans="1:9" x14ac:dyDescent="0.35">
      <c r="A18" s="66" t="s">
        <v>186</v>
      </c>
      <c r="B18" s="65"/>
      <c r="C18" s="65"/>
      <c r="D18" s="65"/>
      <c r="E18" s="65"/>
      <c r="F18" s="65"/>
      <c r="G18" s="65"/>
      <c r="H18" s="65"/>
      <c r="I18" s="65"/>
    </row>
    <row r="19" spans="1:9" x14ac:dyDescent="0.35">
      <c r="A19" s="1" t="s">
        <v>177</v>
      </c>
      <c r="B19" s="1" t="s">
        <v>178</v>
      </c>
      <c r="C19" s="1" t="s">
        <v>179</v>
      </c>
      <c r="D19" s="1" t="s">
        <v>180</v>
      </c>
      <c r="E19" s="1" t="s">
        <v>5</v>
      </c>
      <c r="F19" s="32" t="s">
        <v>181</v>
      </c>
      <c r="G19" s="1" t="s">
        <v>182</v>
      </c>
      <c r="H19" s="1" t="s">
        <v>183</v>
      </c>
      <c r="I19" s="1" t="s">
        <v>184</v>
      </c>
    </row>
    <row r="20" spans="1:9" x14ac:dyDescent="0.35">
      <c r="A20" s="6" t="s">
        <v>46</v>
      </c>
      <c r="B20" s="26">
        <v>0.25</v>
      </c>
      <c r="C20" s="26">
        <v>1</v>
      </c>
      <c r="D20" s="6">
        <f>IF(AND(ISNUMBER(B20), ISNUMBER(C20)), B20*C20*$B$3, "")</f>
        <v>2</v>
      </c>
      <c r="E20" s="6">
        <f>IF(A20="","",VLOOKUP(A20, Base_Donnees!A:F, 6, FALSE))</f>
        <v>3200</v>
      </c>
      <c r="F20" s="33">
        <f>IF(ISNUMBER(D20), D20*E20, "")</f>
        <v>6400</v>
      </c>
      <c r="G20" s="6">
        <f>IF(A20="","",IF(ISNUMBER(D20), IFERROR((D20/VLOOKUP(A20, Base_Donnees!A:F, 3, FALSE))*1000, "-"), ""))</f>
        <v>22.222222222222221</v>
      </c>
      <c r="H20" s="6" t="str">
        <f>IF(A20="","",VLOOKUP(A20, Base_Donnees!A:F, 4, FALSE))</f>
        <v>8 min</v>
      </c>
      <c r="I20" s="6" t="str">
        <f>IF(A20="","",VLOOKUP(A20, Base_Donnees!A:F, 5, FALSE))</f>
        <v>Indispensable contre la chlorose en sol calcaire.</v>
      </c>
    </row>
    <row r="22" spans="1:9" x14ac:dyDescent="0.35">
      <c r="A22" s="66" t="s">
        <v>187</v>
      </c>
      <c r="B22" s="65"/>
      <c r="C22" s="65"/>
      <c r="D22" s="65"/>
      <c r="E22" s="65"/>
      <c r="F22" s="65"/>
      <c r="G22" s="65"/>
      <c r="H22" s="65"/>
      <c r="I22" s="65"/>
    </row>
    <row r="23" spans="1:9" x14ac:dyDescent="0.35">
      <c r="A23" s="1" t="s">
        <v>177</v>
      </c>
      <c r="B23" s="1" t="s">
        <v>178</v>
      </c>
      <c r="C23" s="1" t="s">
        <v>179</v>
      </c>
      <c r="D23" s="1" t="s">
        <v>180</v>
      </c>
      <c r="E23" s="1" t="s">
        <v>5</v>
      </c>
      <c r="F23" s="32" t="s">
        <v>181</v>
      </c>
      <c r="G23" s="1" t="s">
        <v>182</v>
      </c>
      <c r="H23" s="1" t="s">
        <v>183</v>
      </c>
      <c r="I23" s="1" t="s">
        <v>184</v>
      </c>
    </row>
    <row r="24" spans="1:9" x14ac:dyDescent="0.35">
      <c r="A24" s="6" t="s">
        <v>63</v>
      </c>
      <c r="B24" s="26">
        <v>2.5</v>
      </c>
      <c r="C24" s="26">
        <v>1</v>
      </c>
      <c r="D24" s="6">
        <f>IF(AND(ISNUMBER(B24), ISNUMBER(C24)), B24*C24*$B$3, "")</f>
        <v>20</v>
      </c>
      <c r="E24" s="6">
        <f>IF(A24="","",VLOOKUP(A24, Base_Donnees!A:F, 6, FALSE))</f>
        <v>500</v>
      </c>
      <c r="F24" s="33">
        <f>IF(ISNUMBER(D24), D24*E24, "")</f>
        <v>10000</v>
      </c>
      <c r="G24" s="6">
        <f>IF(A24="","",IF(ISNUMBER(D24), IFERROR((D24/VLOOKUP(A24, Base_Donnees!A:F, 3, FALSE))*1000, "-"), ""))</f>
        <v>4</v>
      </c>
      <c r="H24" s="6" t="str">
        <f>IF(A24="","",VLOOKUP(A24, Base_Donnees!A:F, 4, FALSE))</f>
        <v>1 min</v>
      </c>
      <c r="I24" s="6" t="str">
        <f>IF(A24="","",VLOOKUP(A24, Base_Donnees!A:F, 5, FALSE))</f>
        <v>Sécurité : Toujours verser l'acide dans l'eau.</v>
      </c>
    </row>
    <row r="26" spans="1:9" ht="16.5" x14ac:dyDescent="0.35">
      <c r="A26" s="69" t="s">
        <v>188</v>
      </c>
      <c r="B26" s="65"/>
      <c r="C26" s="65"/>
      <c r="D26" s="65"/>
      <c r="E26" s="65"/>
      <c r="F26" s="65"/>
      <c r="G26" s="65"/>
      <c r="H26" s="65"/>
      <c r="I26" s="65"/>
    </row>
    <row r="27" spans="1:9" x14ac:dyDescent="0.35">
      <c r="A27" s="66" t="s">
        <v>176</v>
      </c>
      <c r="B27" s="65"/>
      <c r="C27" s="65"/>
      <c r="D27" s="65"/>
      <c r="E27" s="65"/>
      <c r="F27" s="65"/>
      <c r="G27" s="65"/>
      <c r="H27" s="65"/>
      <c r="I27" s="65"/>
    </row>
    <row r="28" spans="1:9" x14ac:dyDescent="0.35">
      <c r="A28" s="1" t="s">
        <v>177</v>
      </c>
      <c r="B28" s="1" t="s">
        <v>178</v>
      </c>
      <c r="C28" s="1" t="s">
        <v>179</v>
      </c>
      <c r="D28" s="1" t="s">
        <v>180</v>
      </c>
      <c r="E28" s="1" t="s">
        <v>5</v>
      </c>
      <c r="F28" s="32" t="s">
        <v>181</v>
      </c>
      <c r="G28" s="1" t="s">
        <v>182</v>
      </c>
      <c r="H28" s="1" t="s">
        <v>183</v>
      </c>
      <c r="I28" s="1" t="s">
        <v>184</v>
      </c>
    </row>
    <row r="29" spans="1:9" x14ac:dyDescent="0.35">
      <c r="A29" s="6" t="s">
        <v>12</v>
      </c>
      <c r="B29" s="26">
        <v>2.5</v>
      </c>
      <c r="C29" s="26">
        <v>1</v>
      </c>
      <c r="D29" s="6">
        <f>IF(AND(ISNUMBER(B29), ISNUMBER(C29)), B29*C29*$B$3, "")</f>
        <v>20</v>
      </c>
      <c r="E29" s="6">
        <f>IF(A29="","",VLOOKUP(A29, Base_Donnees!A:F, 6, FALSE))</f>
        <v>160</v>
      </c>
      <c r="F29" s="33">
        <f>IF(ISNUMBER(D29), D29*E29, "")</f>
        <v>3200</v>
      </c>
      <c r="G29" s="6">
        <f>IF(A29="","",IF(ISNUMBER(D29), IFERROR((D29/VLOOKUP(A29, Base_Donnees!A:F, 3, FALSE))*1000, "-"), ""))</f>
        <v>166.66666666666666</v>
      </c>
      <c r="H29" s="6" t="str">
        <f>IF(A29="","",VLOOKUP(A29, Base_Donnees!A:F, 4, FALSE))</f>
        <v>6 min</v>
      </c>
      <c r="I29" s="6" t="str">
        <f>IF(A29="","",VLOOKUP(A29, Base_Donnees!A:F, 5, FALSE))</f>
        <v>CRITIQUE : Isoler totalement des Sulfates/Phosphates.</v>
      </c>
    </row>
    <row r="31" spans="1:9" x14ac:dyDescent="0.35">
      <c r="A31" s="66" t="s">
        <v>185</v>
      </c>
      <c r="B31" s="65"/>
      <c r="C31" s="65"/>
      <c r="D31" s="65"/>
      <c r="E31" s="65"/>
      <c r="F31" s="65"/>
      <c r="G31" s="65"/>
      <c r="H31" s="65"/>
      <c r="I31" s="65"/>
    </row>
    <row r="32" spans="1:9" x14ac:dyDescent="0.35">
      <c r="A32" s="1" t="s">
        <v>177</v>
      </c>
      <c r="B32" s="1" t="s">
        <v>178</v>
      </c>
      <c r="C32" s="1" t="s">
        <v>179</v>
      </c>
      <c r="D32" s="1" t="s">
        <v>180</v>
      </c>
      <c r="E32" s="1" t="s">
        <v>5</v>
      </c>
      <c r="F32" s="32" t="s">
        <v>181</v>
      </c>
      <c r="G32" s="1" t="s">
        <v>182</v>
      </c>
      <c r="H32" s="1" t="s">
        <v>183</v>
      </c>
      <c r="I32" s="1" t="s">
        <v>184</v>
      </c>
    </row>
    <row r="33" spans="1:9" x14ac:dyDescent="0.35">
      <c r="A33" s="6"/>
      <c r="B33" s="26"/>
      <c r="C33" s="26"/>
      <c r="D33" s="6" t="str">
        <f>IF(AND(ISNUMBER(B33), ISNUMBER(C33)), B33*C33*$B$3, "")</f>
        <v/>
      </c>
      <c r="E33" s="6" t="str">
        <f>IF(A33="","",VLOOKUP(A33, Base_Donnees!A:F, 6, FALSE))</f>
        <v/>
      </c>
      <c r="F33" s="33" t="str">
        <f>IF(ISNUMBER(D33), D33*E33, "")</f>
        <v/>
      </c>
      <c r="G33" s="6" t="str">
        <f>IF(A33="","",IF(ISNUMBER(D33), IFERROR((D33/VLOOKUP(A33, Base_Donnees!A:F, 3, FALSE))*1000, "-"), ""))</f>
        <v/>
      </c>
      <c r="H33" s="6" t="str">
        <f>IF(A33="","",VLOOKUP(A33, Base_Donnees!A:F, 4, FALSE))</f>
        <v/>
      </c>
      <c r="I33" s="6" t="str">
        <f>IF(A33="","",VLOOKUP(A33, Base_Donnees!A:F, 5, FALSE))</f>
        <v/>
      </c>
    </row>
    <row r="35" spans="1:9" x14ac:dyDescent="0.35">
      <c r="A35" s="66" t="s">
        <v>186</v>
      </c>
      <c r="B35" s="65"/>
      <c r="C35" s="65"/>
      <c r="D35" s="65"/>
      <c r="E35" s="65"/>
      <c r="F35" s="65"/>
      <c r="G35" s="65"/>
      <c r="H35" s="65"/>
      <c r="I35" s="65"/>
    </row>
    <row r="36" spans="1:9" x14ac:dyDescent="0.35">
      <c r="A36" s="1" t="s">
        <v>177</v>
      </c>
      <c r="B36" s="1" t="s">
        <v>178</v>
      </c>
      <c r="C36" s="1" t="s">
        <v>179</v>
      </c>
      <c r="D36" s="1" t="s">
        <v>180</v>
      </c>
      <c r="E36" s="1" t="s">
        <v>5</v>
      </c>
      <c r="F36" s="32" t="s">
        <v>181</v>
      </c>
      <c r="G36" s="1" t="s">
        <v>182</v>
      </c>
      <c r="H36" s="1" t="s">
        <v>183</v>
      </c>
      <c r="I36" s="1" t="s">
        <v>184</v>
      </c>
    </row>
    <row r="37" spans="1:9" x14ac:dyDescent="0.35">
      <c r="A37" s="6"/>
      <c r="B37" s="26"/>
      <c r="C37" s="26"/>
      <c r="D37" s="6" t="str">
        <f>IF(AND(ISNUMBER(B37), ISNUMBER(C37)), B37*C37*$B$3, "")</f>
        <v/>
      </c>
      <c r="E37" s="6" t="str">
        <f>IF(A37="","",VLOOKUP(A37, Base_Donnees!A:F, 6, FALSE))</f>
        <v/>
      </c>
      <c r="F37" s="33" t="str">
        <f>IF(ISNUMBER(D37), D37*E37, "")</f>
        <v/>
      </c>
      <c r="G37" s="6" t="str">
        <f>IF(A37="","",IF(ISNUMBER(D37), IFERROR((D37/VLOOKUP(A37, Base_Donnees!A:F, 3, FALSE))*1000, "-"), ""))</f>
        <v/>
      </c>
      <c r="H37" s="6" t="str">
        <f>IF(A37="","",VLOOKUP(A37, Base_Donnees!A:F, 4, FALSE))</f>
        <v/>
      </c>
      <c r="I37" s="6" t="str">
        <f>IF(A37="","",VLOOKUP(A37, Base_Donnees!A:F, 5, FALSE))</f>
        <v/>
      </c>
    </row>
    <row r="39" spans="1:9" x14ac:dyDescent="0.35">
      <c r="A39" s="66" t="s">
        <v>187</v>
      </c>
      <c r="B39" s="65"/>
      <c r="C39" s="65"/>
      <c r="D39" s="65"/>
      <c r="E39" s="65"/>
      <c r="F39" s="65"/>
      <c r="G39" s="65"/>
      <c r="H39" s="65"/>
      <c r="I39" s="65"/>
    </row>
    <row r="40" spans="1:9" x14ac:dyDescent="0.35">
      <c r="A40" s="1" t="s">
        <v>177</v>
      </c>
      <c r="B40" s="1" t="s">
        <v>178</v>
      </c>
      <c r="C40" s="1" t="s">
        <v>179</v>
      </c>
      <c r="D40" s="1" t="s">
        <v>180</v>
      </c>
      <c r="E40" s="1" t="s">
        <v>5</v>
      </c>
      <c r="F40" s="32" t="s">
        <v>181</v>
      </c>
      <c r="G40" s="1" t="s">
        <v>182</v>
      </c>
      <c r="H40" s="1" t="s">
        <v>183</v>
      </c>
      <c r="I40" s="1" t="s">
        <v>184</v>
      </c>
    </row>
    <row r="41" spans="1:9" x14ac:dyDescent="0.35">
      <c r="A41" s="6" t="s">
        <v>55</v>
      </c>
      <c r="B41" s="26">
        <v>1.5</v>
      </c>
      <c r="C41" s="26">
        <v>1</v>
      </c>
      <c r="D41" s="6">
        <f>IF(AND(ISNUMBER(B41), ISNUMBER(C41)), B41*C41*$B$3, "")</f>
        <v>12</v>
      </c>
      <c r="E41" s="6">
        <f>IF(A41="","",VLOOKUP(A41, Base_Donnees!A:F, 6, FALSE))</f>
        <v>378.15</v>
      </c>
      <c r="F41" s="33">
        <f>IF(ISNUMBER(D41), D41*E41, "")</f>
        <v>4537.7999999999993</v>
      </c>
      <c r="G41" s="6">
        <f>IF(A41="","",IF(ISNUMBER(D41), IFERROR((D41/VLOOKUP(A41, Base_Donnees!A:F, 3, FALSE))*1000, "-"), ""))</f>
        <v>2.4</v>
      </c>
      <c r="H41" s="6" t="str">
        <f>IF(A41="","",VLOOKUP(A41, Base_Donnees!A:F, 4, FALSE))</f>
        <v>1 min</v>
      </c>
      <c r="I41" s="6" t="str">
        <f>IF(A41="","",VLOOKUP(A41, Base_Donnees!A:F, 5, FALSE))</f>
        <v>CORROSIF : Gants + lunettes obligatoires.</v>
      </c>
    </row>
    <row r="42" spans="1:9" x14ac:dyDescent="0.35">
      <c r="A42" s="3" t="s">
        <v>65</v>
      </c>
      <c r="B42" s="17">
        <v>1.5</v>
      </c>
      <c r="C42" s="17">
        <v>1</v>
      </c>
      <c r="D42" s="6">
        <f>IF(AND(ISNUMBER(B42), ISNUMBER(C42)), B42*C42*$B$3, "")</f>
        <v>12</v>
      </c>
      <c r="E42" s="6">
        <f>IF(A42="","",VLOOKUP(A42, Base_Donnees!A:F, 6, FALSE))</f>
        <v>410.55</v>
      </c>
      <c r="F42" s="33">
        <f>IF(ISNUMBER(D42), D42*E42, "")</f>
        <v>4926.6000000000004</v>
      </c>
      <c r="G42" s="6">
        <f>IF(A42="","",IF(ISNUMBER(D42), IFERROR((D42/VLOOKUP(A42, Base_Donnees!A:F, 3, FALSE))*1000, "-"), ""))</f>
        <v>20.338983050847457</v>
      </c>
      <c r="H42" s="6" t="str">
        <f>IF(A42="","",VLOOKUP(A42, Base_Donnees!A:F, 4, FALSE))</f>
        <v>4 min</v>
      </c>
      <c r="I42" s="6" t="str">
        <f>IF(A42="","",VLOOKUP(A42, Base_Donnees!A:F, 5, FALSE))</f>
        <v>Idéal pour chélater et nettoyer les goutteurs.</v>
      </c>
    </row>
    <row r="43" spans="1:9" x14ac:dyDescent="0.35">
      <c r="E43" s="8" t="s">
        <v>189</v>
      </c>
      <c r="F43" s="35">
        <f>SUM(F10,F14,F15,F16,F20,F24,F29,F33,F37,F41,F42)</f>
        <v>34672.400000000001</v>
      </c>
    </row>
    <row r="45" spans="1:9" x14ac:dyDescent="0.35">
      <c r="A45" s="64" t="s">
        <v>190</v>
      </c>
      <c r="B45" s="65"/>
      <c r="C45" s="65"/>
      <c r="D45" s="65"/>
      <c r="E45" s="65"/>
      <c r="F45" s="65"/>
      <c r="G45" s="65"/>
      <c r="H45" s="65"/>
      <c r="I45" s="65"/>
    </row>
    <row r="46" spans="1:9" x14ac:dyDescent="0.35">
      <c r="A46" s="10" t="s">
        <v>191</v>
      </c>
      <c r="B46" s="10" t="s">
        <v>192</v>
      </c>
      <c r="C46" s="10" t="s">
        <v>193</v>
      </c>
      <c r="D46" s="10" t="s">
        <v>194</v>
      </c>
      <c r="E46" s="10" t="s">
        <v>5</v>
      </c>
      <c r="F46" s="36" t="s">
        <v>195</v>
      </c>
      <c r="G46" s="10" t="s">
        <v>196</v>
      </c>
      <c r="H46" s="10" t="s">
        <v>197</v>
      </c>
      <c r="I46" s="10"/>
    </row>
    <row r="47" spans="1:9" x14ac:dyDescent="0.35">
      <c r="A47" s="6"/>
      <c r="B47" s="26"/>
      <c r="C47" s="27">
        <f>$B$3</f>
        <v>8</v>
      </c>
      <c r="D47" s="6" t="str">
        <f>IF(ISNUMBER(B47), B47*C47, "")</f>
        <v/>
      </c>
      <c r="E47" s="6" t="str">
        <f>IF(A47="","",VLOOKUP(A47, Base_Donnees!A:F, 6, FALSE))</f>
        <v/>
      </c>
      <c r="F47" s="33" t="str">
        <f>IF(ISNUMBER(D47), D47*E47, "")</f>
        <v/>
      </c>
      <c r="G47" s="6" t="str">
        <f>IF(A47="","",VLOOKUP(A47, Base_Donnees!A:F, 5, FALSE))</f>
        <v/>
      </c>
      <c r="H47" s="6" t="str">
        <f>IF(A47="","",VLOOKUP(A47, Base_Donnees!A:F, 4, FALSE))</f>
        <v/>
      </c>
      <c r="I47" s="6"/>
    </row>
    <row r="48" spans="1:9" x14ac:dyDescent="0.35">
      <c r="A48" s="6"/>
      <c r="B48" s="26"/>
      <c r="C48" s="27">
        <f>$B$3</f>
        <v>8</v>
      </c>
      <c r="D48" s="6" t="str">
        <f>IF(ISNUMBER(B48), B48*C48, "")</f>
        <v/>
      </c>
      <c r="E48" s="6" t="str">
        <f>IF(A48="","",VLOOKUP(A48, Base_Donnees!A:F, 6, FALSE))</f>
        <v/>
      </c>
      <c r="F48" s="33" t="str">
        <f>IF(ISNUMBER(D48), D48*E48, "")</f>
        <v/>
      </c>
      <c r="G48" s="6" t="str">
        <f>IF(A48="","",VLOOKUP(A48, Base_Donnees!A:F, 5, FALSE))</f>
        <v/>
      </c>
      <c r="H48" s="6" t="str">
        <f>IF(A48="","",VLOOKUP(A48, Base_Donnees!A:F, 4, FALSE))</f>
        <v/>
      </c>
      <c r="I48" s="6"/>
    </row>
    <row r="49" spans="1:9" x14ac:dyDescent="0.35">
      <c r="A49" s="6"/>
      <c r="B49" s="26"/>
      <c r="C49" s="27">
        <f>$B$3</f>
        <v>8</v>
      </c>
      <c r="D49" s="6" t="str">
        <f>IF(ISNUMBER(B49), B49*C49, "")</f>
        <v/>
      </c>
      <c r="E49" s="6" t="str">
        <f>IF(A49="","",VLOOKUP(A49, Base_Donnees!A:F, 6, FALSE))</f>
        <v/>
      </c>
      <c r="F49" s="33" t="str">
        <f>IF(ISNUMBER(D49), D49*E49, "")</f>
        <v/>
      </c>
      <c r="G49" s="6" t="str">
        <f>IF(A49="","",VLOOKUP(A49, Base_Donnees!A:F, 5, FALSE))</f>
        <v/>
      </c>
      <c r="H49" s="6" t="str">
        <f>IF(A49="","",VLOOKUP(A49, Base_Donnees!A:F, 4, FALSE))</f>
        <v/>
      </c>
      <c r="I49" s="6"/>
    </row>
    <row r="50" spans="1:9" x14ac:dyDescent="0.35">
      <c r="E50" s="8" t="s">
        <v>198</v>
      </c>
      <c r="F50" s="37">
        <f>SUM(F47,F48,F49)</f>
        <v>0</v>
      </c>
    </row>
    <row r="52" spans="1:9" x14ac:dyDescent="0.35">
      <c r="A52" s="64" t="s">
        <v>199</v>
      </c>
      <c r="B52" s="65"/>
      <c r="C52" s="65"/>
      <c r="D52" s="65"/>
      <c r="E52" s="65"/>
      <c r="F52" s="65"/>
      <c r="G52" s="65"/>
      <c r="H52" s="65"/>
      <c r="I52" s="65"/>
    </row>
    <row r="53" spans="1:9" x14ac:dyDescent="0.35">
      <c r="A53" s="12" t="s">
        <v>200</v>
      </c>
      <c r="B53" s="12" t="s">
        <v>201</v>
      </c>
      <c r="C53" s="12" t="s">
        <v>193</v>
      </c>
      <c r="D53" s="12" t="s">
        <v>194</v>
      </c>
      <c r="E53" s="12" t="s">
        <v>5</v>
      </c>
      <c r="F53" s="38" t="s">
        <v>195</v>
      </c>
      <c r="G53" s="12" t="s">
        <v>202</v>
      </c>
      <c r="H53" s="12" t="s">
        <v>203</v>
      </c>
      <c r="I53" s="12" t="s">
        <v>204</v>
      </c>
    </row>
    <row r="54" spans="1:9" x14ac:dyDescent="0.35">
      <c r="A54" s="6"/>
      <c r="B54" s="26"/>
      <c r="C54" s="27">
        <f>$B$3</f>
        <v>8</v>
      </c>
      <c r="D54" s="6" t="str">
        <f>IF(ISNUMBER(B54), B54*C54, "")</f>
        <v/>
      </c>
      <c r="E54" s="6" t="str">
        <f>IF(A54="","",VLOOKUP(A54, Base_Donnees!A:F, 6, FALSE))</f>
        <v/>
      </c>
      <c r="F54" s="33" t="str">
        <f>IF(ISNUMBER(D54), D54*E54, "")</f>
        <v/>
      </c>
      <c r="G54" s="6" t="str">
        <f>IF(A54="","",VLOOKUP(A54, Base_Donnees!A:F, 3, FALSE))</f>
        <v/>
      </c>
      <c r="H54" s="6" t="str">
        <f>IF(A54="","",VLOOKUP(A54, Base_Donnees!A:F, 4, FALSE))</f>
        <v/>
      </c>
      <c r="I54" s="6" t="str">
        <f>IF(A54="","",VLOOKUP(A54, Base_Donnees!A:F, 5, FALSE))</f>
        <v/>
      </c>
    </row>
    <row r="55" spans="1:9" x14ac:dyDescent="0.35">
      <c r="A55" s="6"/>
      <c r="B55" s="26"/>
      <c r="C55" s="27">
        <f>$B$3</f>
        <v>8</v>
      </c>
      <c r="D55" s="6" t="str">
        <f>IF(ISNUMBER(B55), B55*C55, "")</f>
        <v/>
      </c>
      <c r="E55" s="6" t="str">
        <f>IF(A55="","",VLOOKUP(A55, Base_Donnees!A:F, 6, FALSE))</f>
        <v/>
      </c>
      <c r="F55" s="33" t="str">
        <f>IF(ISNUMBER(D55), D55*E55, "")</f>
        <v/>
      </c>
      <c r="G55" s="6" t="str">
        <f>IF(A55="","",VLOOKUP(A55, Base_Donnees!A:F, 3, FALSE))</f>
        <v/>
      </c>
      <c r="H55" s="6" t="str">
        <f>IF(A55="","",VLOOKUP(A55, Base_Donnees!A:F, 4, FALSE))</f>
        <v/>
      </c>
      <c r="I55" s="6" t="str">
        <f>IF(A55="","",VLOOKUP(A55, Base_Donnees!A:F, 5, FALSE))</f>
        <v/>
      </c>
    </row>
    <row r="56" spans="1:9" x14ac:dyDescent="0.35">
      <c r="A56" s="6"/>
      <c r="B56" s="26"/>
      <c r="C56" s="27">
        <f>$B$3</f>
        <v>8</v>
      </c>
      <c r="D56" s="6" t="str">
        <f>IF(ISNUMBER(B56), B56*C56, "")</f>
        <v/>
      </c>
      <c r="E56" s="6" t="str">
        <f>IF(A56="","",VLOOKUP(A56, Base_Donnees!A:F, 6, FALSE))</f>
        <v/>
      </c>
      <c r="F56" s="33" t="str">
        <f>IF(ISNUMBER(D56), D56*E56, "")</f>
        <v/>
      </c>
      <c r="G56" s="6" t="str">
        <f>IF(A56="","",VLOOKUP(A56, Base_Donnees!A:F, 3, FALSE))</f>
        <v/>
      </c>
      <c r="H56" s="6" t="str">
        <f>IF(A56="","",VLOOKUP(A56, Base_Donnees!A:F, 4, FALSE))</f>
        <v/>
      </c>
      <c r="I56" s="6" t="str">
        <f>IF(A56="","",VLOOKUP(A56, Base_Donnees!A:F, 5, FALSE))</f>
        <v/>
      </c>
    </row>
    <row r="57" spans="1:9" x14ac:dyDescent="0.35">
      <c r="E57" s="8" t="s">
        <v>205</v>
      </c>
      <c r="F57" s="37">
        <f>SUM(F54,F55,F56)</f>
        <v>0</v>
      </c>
    </row>
  </sheetData>
  <mergeCells count="13">
    <mergeCell ref="A52:I52"/>
    <mergeCell ref="A7:I7"/>
    <mergeCell ref="A1:I1"/>
    <mergeCell ref="A45:I45"/>
    <mergeCell ref="A18:I18"/>
    <mergeCell ref="A27:I27"/>
    <mergeCell ref="A8:I8"/>
    <mergeCell ref="A31:I31"/>
    <mergeCell ref="A39:I39"/>
    <mergeCell ref="A22:I22"/>
    <mergeCell ref="A12:I12"/>
    <mergeCell ref="A26:I26"/>
    <mergeCell ref="A35:I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8"/>
  <sheetViews>
    <sheetView topLeftCell="A43" workbookViewId="0">
      <selection activeCell="F43" sqref="F1:F1048576"/>
    </sheetView>
  </sheetViews>
  <sheetFormatPr baseColWidth="10" defaultColWidth="8.7265625" defaultRowHeight="14.5" x14ac:dyDescent="0.35"/>
  <cols>
    <col min="1" max="1" width="42" customWidth="1"/>
    <col min="2" max="3" width="15" customWidth="1"/>
    <col min="4" max="5" width="20" customWidth="1"/>
    <col min="6" max="6" width="20" style="21" customWidth="1"/>
    <col min="7" max="7" width="15" customWidth="1"/>
    <col min="8" max="8" width="20" customWidth="1"/>
    <col min="9" max="9" width="45" customWidth="1"/>
  </cols>
  <sheetData>
    <row r="1" spans="1:9" ht="19" x14ac:dyDescent="0.35">
      <c r="A1" s="68" t="s">
        <v>222</v>
      </c>
      <c r="B1" s="65"/>
      <c r="C1" s="65"/>
      <c r="D1" s="65"/>
      <c r="E1" s="65"/>
      <c r="F1" s="65"/>
      <c r="G1" s="65"/>
      <c r="H1" s="65"/>
      <c r="I1" s="65"/>
    </row>
    <row r="3" spans="1:9" x14ac:dyDescent="0.35">
      <c r="A3" t="s">
        <v>170</v>
      </c>
      <c r="B3" s="4">
        <v>4</v>
      </c>
    </row>
    <row r="4" spans="1:9" x14ac:dyDescent="0.35">
      <c r="A4" t="s">
        <v>171</v>
      </c>
      <c r="B4" s="4" t="s">
        <v>210</v>
      </c>
    </row>
    <row r="5" spans="1:9" x14ac:dyDescent="0.35">
      <c r="A5" t="s">
        <v>173</v>
      </c>
      <c r="B5" s="28" t="s">
        <v>221</v>
      </c>
    </row>
    <row r="7" spans="1:9" ht="16.5" x14ac:dyDescent="0.35">
      <c r="A7" s="67" t="s">
        <v>175</v>
      </c>
      <c r="B7" s="65"/>
      <c r="C7" s="65"/>
      <c r="D7" s="65"/>
      <c r="E7" s="65"/>
      <c r="F7" s="65"/>
      <c r="G7" s="65"/>
      <c r="H7" s="65"/>
      <c r="I7" s="65"/>
    </row>
    <row r="8" spans="1:9" x14ac:dyDescent="0.35">
      <c r="A8" s="66" t="s">
        <v>176</v>
      </c>
      <c r="B8" s="65"/>
      <c r="C8" s="65"/>
      <c r="D8" s="65"/>
      <c r="E8" s="65"/>
      <c r="F8" s="65"/>
      <c r="G8" s="65"/>
      <c r="H8" s="65"/>
      <c r="I8" s="65"/>
    </row>
    <row r="9" spans="1:9" x14ac:dyDescent="0.35">
      <c r="A9" s="1" t="s">
        <v>177</v>
      </c>
      <c r="B9" s="1" t="s">
        <v>178</v>
      </c>
      <c r="C9" s="1" t="s">
        <v>179</v>
      </c>
      <c r="D9" s="1" t="s">
        <v>180</v>
      </c>
      <c r="E9" s="1" t="s">
        <v>5</v>
      </c>
      <c r="F9" s="32" t="s">
        <v>181</v>
      </c>
      <c r="G9" s="1" t="s">
        <v>182</v>
      </c>
      <c r="H9" s="1" t="s">
        <v>183</v>
      </c>
      <c r="I9" s="1" t="s">
        <v>184</v>
      </c>
    </row>
    <row r="10" spans="1:9" x14ac:dyDescent="0.35">
      <c r="A10" s="6"/>
      <c r="B10" s="7"/>
      <c r="C10" s="7"/>
      <c r="D10" s="6" t="str">
        <f>IF(AND(ISNUMBER(B10), ISNUMBER(C10)), B10*C10*$B$3, "")</f>
        <v/>
      </c>
      <c r="E10" s="6" t="str">
        <f>IF(A10="","",VLOOKUP(A10, Base_Donnees!A:F, 6, FALSE))</f>
        <v/>
      </c>
      <c r="F10" s="33" t="str">
        <f>IF(ISNUMBER(D10), D10*E10, "")</f>
        <v/>
      </c>
      <c r="G10" s="6" t="str">
        <f>IF(A10="","",IF(ISNUMBER(D10), IFERROR((D10/VLOOKUP(A10, Base_Donnees!A:F, 3, FALSE))*1000, "-"), ""))</f>
        <v/>
      </c>
      <c r="H10" s="6" t="str">
        <f>IF(A10="","",VLOOKUP(A10, Base_Donnees!A:F, 4, FALSE))</f>
        <v/>
      </c>
      <c r="I10" s="6" t="str">
        <f>IF(A10="","",VLOOKUP(A10, Base_Donnees!A:F, 5, FALSE))</f>
        <v/>
      </c>
    </row>
    <row r="12" spans="1:9" x14ac:dyDescent="0.35">
      <c r="A12" s="66" t="s">
        <v>185</v>
      </c>
      <c r="B12" s="65"/>
      <c r="C12" s="65"/>
      <c r="D12" s="65"/>
      <c r="E12" s="65"/>
      <c r="F12" s="65"/>
      <c r="G12" s="65"/>
      <c r="H12" s="65"/>
      <c r="I12" s="65"/>
    </row>
    <row r="13" spans="1:9" x14ac:dyDescent="0.35">
      <c r="A13" s="1" t="s">
        <v>177</v>
      </c>
      <c r="B13" s="1" t="s">
        <v>178</v>
      </c>
      <c r="C13" s="1" t="s">
        <v>179</v>
      </c>
      <c r="D13" s="1" t="s">
        <v>180</v>
      </c>
      <c r="E13" s="1" t="s">
        <v>5</v>
      </c>
      <c r="F13" s="32" t="s">
        <v>181</v>
      </c>
      <c r="G13" s="1" t="s">
        <v>182</v>
      </c>
      <c r="H13" s="1" t="s">
        <v>183</v>
      </c>
      <c r="I13" s="1" t="s">
        <v>184</v>
      </c>
    </row>
    <row r="14" spans="1:9" x14ac:dyDescent="0.35">
      <c r="A14" s="6" t="s">
        <v>19</v>
      </c>
      <c r="B14" s="7">
        <v>3</v>
      </c>
      <c r="C14" s="7">
        <v>2</v>
      </c>
      <c r="D14" s="6">
        <f>IF(AND(ISNUMBER(B14), ISNUMBER(C14)), B14*C14*$B$3, "")</f>
        <v>24</v>
      </c>
      <c r="E14" s="6">
        <f>IF(A14="","",VLOOKUP(A14, Base_Donnees!A:F, 6, FALSE))</f>
        <v>45</v>
      </c>
      <c r="F14" s="33">
        <f>IF(ISNUMBER(D14), D14*E14, "")</f>
        <v>1080</v>
      </c>
      <c r="G14" s="6">
        <f>IF(A14="","",IF(ISNUMBER(D14), IFERROR((D14/VLOOKUP(A14, Base_Donnees!A:F, 3, FALSE))*1000, "-"), ""))</f>
        <v>228.57142857142856</v>
      </c>
      <c r="H14" s="6" t="str">
        <f>IF(A14="","",VLOOKUP(A14, Base_Donnees!A:F, 4, FALSE))</f>
        <v>5 min</v>
      </c>
      <c r="I14" s="6" t="str">
        <f>IF(A14="","",VLOOKUP(A14, Base_Donnees!A:F, 5, FALSE))</f>
        <v>Très soluble. Refroidit l'eau (endothermique).</v>
      </c>
    </row>
    <row r="15" spans="1:9" x14ac:dyDescent="0.35">
      <c r="A15" s="6" t="s">
        <v>24</v>
      </c>
      <c r="B15" s="7">
        <v>2.5</v>
      </c>
      <c r="C15" s="7">
        <v>2</v>
      </c>
      <c r="D15" s="6">
        <f>IF(AND(ISNUMBER(B15), ISNUMBER(C15)), B15*C15*$B$3, "")</f>
        <v>20</v>
      </c>
      <c r="E15" s="6">
        <f>IF(A15="","",VLOOKUP(A15, Base_Donnees!A:F, 6, FALSE))</f>
        <v>26</v>
      </c>
      <c r="F15" s="33">
        <f>IF(ISNUMBER(D15), D15*E15, "")</f>
        <v>520</v>
      </c>
      <c r="G15" s="6">
        <f>IF(A15="","",IF(ISNUMBER(D15), IFERROR((D15/VLOOKUP(A15, Base_Donnees!A:F, 3, FALSE))*1000, "-"), ""))</f>
        <v>666.66666666666663</v>
      </c>
      <c r="H15" s="6" t="str">
        <f>IF(A15="","",VLOOKUP(A15, Base_Donnees!A:F, 4, FALSE))</f>
        <v>15 min</v>
      </c>
      <c r="I15" s="6" t="str">
        <f>IF(A15="","",VLOOKUP(A15, Base_Donnees!A:F, 5, FALSE))</f>
        <v>Sensible à l'eau froide du puits.</v>
      </c>
    </row>
    <row r="16" spans="1:9" x14ac:dyDescent="0.35">
      <c r="A16" s="6" t="s">
        <v>32</v>
      </c>
      <c r="B16" s="7">
        <v>2.5</v>
      </c>
      <c r="C16" s="7">
        <v>2</v>
      </c>
      <c r="D16" s="6">
        <f>IF(AND(ISNUMBER(B16), ISNUMBER(C16)), B16*C16*$B$3, "")</f>
        <v>20</v>
      </c>
      <c r="E16" s="6">
        <f>IF(A16="","",VLOOKUP(A16, Base_Donnees!A:F, 6, FALSE))</f>
        <v>260</v>
      </c>
      <c r="F16" s="33">
        <f>IF(ISNUMBER(D16), D16*E16, "")</f>
        <v>5200</v>
      </c>
      <c r="G16" s="6">
        <f>IF(A16="","",IF(ISNUMBER(D16), IFERROR((D16/VLOOKUP(A16, Base_Donnees!A:F, 3, FALSE))*1000, "-"), ""))</f>
        <v>285.71428571428572</v>
      </c>
      <c r="H16" s="6" t="str">
        <f>IF(A16="","",VLOOKUP(A16, Base_Donnees!A:F, 4, FALSE))</f>
        <v>8 min</v>
      </c>
      <c r="I16" s="6" t="str">
        <f>IF(A16="","",VLOOKUP(A16, Base_Donnees!A:F, 5, FALSE))</f>
        <v>Excellente source de magnésium soluble.</v>
      </c>
    </row>
    <row r="18" spans="1:9" x14ac:dyDescent="0.35">
      <c r="A18" s="66" t="s">
        <v>186</v>
      </c>
      <c r="B18" s="65"/>
      <c r="C18" s="65"/>
      <c r="D18" s="65"/>
      <c r="E18" s="65"/>
      <c r="F18" s="65"/>
      <c r="G18" s="65"/>
      <c r="H18" s="65"/>
      <c r="I18" s="65"/>
    </row>
    <row r="19" spans="1:9" x14ac:dyDescent="0.35">
      <c r="A19" s="1" t="s">
        <v>177</v>
      </c>
      <c r="B19" s="1" t="s">
        <v>178</v>
      </c>
      <c r="C19" s="1" t="s">
        <v>179</v>
      </c>
      <c r="D19" s="1" t="s">
        <v>180</v>
      </c>
      <c r="E19" s="1" t="s">
        <v>5</v>
      </c>
      <c r="F19" s="32" t="s">
        <v>181</v>
      </c>
      <c r="G19" s="1" t="s">
        <v>182</v>
      </c>
      <c r="H19" s="1" t="s">
        <v>183</v>
      </c>
      <c r="I19" s="1" t="s">
        <v>184</v>
      </c>
    </row>
    <row r="20" spans="1:9" x14ac:dyDescent="0.35">
      <c r="A20" s="6"/>
      <c r="B20" s="7"/>
      <c r="C20" s="7"/>
      <c r="D20" s="6" t="str">
        <f>IF(AND(ISNUMBER(B20), ISNUMBER(C20)), B20*C20*$B$3, "")</f>
        <v/>
      </c>
      <c r="E20" s="6" t="str">
        <f>IF(A20="","",VLOOKUP(A20, Base_Donnees!A:F, 6, FALSE))</f>
        <v/>
      </c>
      <c r="F20" s="33" t="str">
        <f>IF(ISNUMBER(D20), D20*E20, "")</f>
        <v/>
      </c>
      <c r="G20" s="6" t="str">
        <f>IF(A20="","",IF(ISNUMBER(D20), IFERROR((D20/VLOOKUP(A20, Base_Donnees!A:F, 3, FALSE))*1000, "-"), ""))</f>
        <v/>
      </c>
      <c r="H20" s="6" t="str">
        <f>IF(A20="","",VLOOKUP(A20, Base_Donnees!A:F, 4, FALSE))</f>
        <v/>
      </c>
      <c r="I20" s="6" t="str">
        <f>IF(A20="","",VLOOKUP(A20, Base_Donnees!A:F, 5, FALSE))</f>
        <v/>
      </c>
    </row>
    <row r="22" spans="1:9" x14ac:dyDescent="0.35">
      <c r="A22" s="66" t="s">
        <v>187</v>
      </c>
      <c r="B22" s="65"/>
      <c r="C22" s="65"/>
      <c r="D22" s="65"/>
      <c r="E22" s="65"/>
      <c r="F22" s="65"/>
      <c r="G22" s="65"/>
      <c r="H22" s="65"/>
      <c r="I22" s="65"/>
    </row>
    <row r="23" spans="1:9" x14ac:dyDescent="0.35">
      <c r="A23" s="1" t="s">
        <v>177</v>
      </c>
      <c r="B23" s="1" t="s">
        <v>178</v>
      </c>
      <c r="C23" s="1" t="s">
        <v>179</v>
      </c>
      <c r="D23" s="1" t="s">
        <v>180</v>
      </c>
      <c r="E23" s="1" t="s">
        <v>5</v>
      </c>
      <c r="F23" s="32" t="s">
        <v>181</v>
      </c>
      <c r="G23" s="1" t="s">
        <v>182</v>
      </c>
      <c r="H23" s="1" t="s">
        <v>183</v>
      </c>
      <c r="I23" s="1" t="s">
        <v>184</v>
      </c>
    </row>
    <row r="24" spans="1:9" x14ac:dyDescent="0.35">
      <c r="A24" s="6" t="s">
        <v>63</v>
      </c>
      <c r="B24" s="7">
        <v>2</v>
      </c>
      <c r="C24" s="7">
        <v>2</v>
      </c>
      <c r="D24" s="6">
        <f>IF(AND(ISNUMBER(B24), ISNUMBER(C24)), B24*C24*$B$3, "")</f>
        <v>16</v>
      </c>
      <c r="E24" s="6">
        <f>IF(A24="","",VLOOKUP(A24, Base_Donnees!A:F, 6, FALSE))</f>
        <v>500</v>
      </c>
      <c r="F24" s="33">
        <f>IF(ISNUMBER(D24), D24*E24, "")</f>
        <v>8000</v>
      </c>
      <c r="G24" s="6">
        <f>IF(A24="","",IF(ISNUMBER(D24), IFERROR((D24/VLOOKUP(A24, Base_Donnees!A:F, 3, FALSE))*1000, "-"), ""))</f>
        <v>3.2</v>
      </c>
      <c r="H24" s="6" t="str">
        <f>IF(A24="","",VLOOKUP(A24, Base_Donnees!A:F, 4, FALSE))</f>
        <v>1 min</v>
      </c>
      <c r="I24" s="6" t="str">
        <f>IF(A24="","",VLOOKUP(A24, Base_Donnees!A:F, 5, FALSE))</f>
        <v>Sécurité : Toujours verser l'acide dans l'eau.</v>
      </c>
    </row>
    <row r="26" spans="1:9" ht="16.5" x14ac:dyDescent="0.35">
      <c r="A26" s="69" t="s">
        <v>188</v>
      </c>
      <c r="B26" s="65"/>
      <c r="C26" s="65"/>
      <c r="D26" s="65"/>
      <c r="E26" s="65"/>
      <c r="F26" s="65"/>
      <c r="G26" s="65"/>
      <c r="H26" s="65"/>
      <c r="I26" s="65"/>
    </row>
    <row r="27" spans="1:9" x14ac:dyDescent="0.35">
      <c r="A27" s="66" t="s">
        <v>176</v>
      </c>
      <c r="B27" s="65"/>
      <c r="C27" s="65"/>
      <c r="D27" s="65"/>
      <c r="E27" s="65"/>
      <c r="F27" s="65"/>
      <c r="G27" s="65"/>
      <c r="H27" s="65"/>
      <c r="I27" s="65"/>
    </row>
    <row r="28" spans="1:9" x14ac:dyDescent="0.35">
      <c r="A28" s="1" t="s">
        <v>177</v>
      </c>
      <c r="B28" s="1" t="s">
        <v>178</v>
      </c>
      <c r="C28" s="1" t="s">
        <v>179</v>
      </c>
      <c r="D28" s="1" t="s">
        <v>180</v>
      </c>
      <c r="E28" s="1" t="s">
        <v>5</v>
      </c>
      <c r="F28" s="32" t="s">
        <v>181</v>
      </c>
      <c r="G28" s="1" t="s">
        <v>182</v>
      </c>
      <c r="H28" s="1" t="s">
        <v>183</v>
      </c>
      <c r="I28" s="1" t="s">
        <v>184</v>
      </c>
    </row>
    <row r="29" spans="1:9" x14ac:dyDescent="0.35">
      <c r="A29" s="6" t="s">
        <v>12</v>
      </c>
      <c r="B29" s="7">
        <v>5</v>
      </c>
      <c r="C29" s="7">
        <v>1</v>
      </c>
      <c r="D29" s="6">
        <f>IF(AND(ISNUMBER(B29), ISNUMBER(C29)), B29*C29*$B$3, "")</f>
        <v>20</v>
      </c>
      <c r="E29" s="6">
        <f>IF(A29="","",VLOOKUP(A29, Base_Donnees!A:F, 6, FALSE))</f>
        <v>160</v>
      </c>
      <c r="F29" s="33">
        <f>IF(ISNUMBER(D29), D29*E29, "")</f>
        <v>3200</v>
      </c>
      <c r="G29" s="6">
        <f>IF(A29="","",IF(ISNUMBER(D29), IFERROR((D29/VLOOKUP(A29, Base_Donnees!A:F, 3, FALSE))*1000, "-"), ""))</f>
        <v>166.66666666666666</v>
      </c>
      <c r="H29" s="6" t="str">
        <f>IF(A29="","",VLOOKUP(A29, Base_Donnees!A:F, 4, FALSE))</f>
        <v>6 min</v>
      </c>
      <c r="I29" s="6" t="str">
        <f>IF(A29="","",VLOOKUP(A29, Base_Donnees!A:F, 5, FALSE))</f>
        <v>CRITIQUE : Isoler totalement des Sulfates/Phosphates.</v>
      </c>
    </row>
    <row r="31" spans="1:9" x14ac:dyDescent="0.35">
      <c r="A31" s="66" t="s">
        <v>185</v>
      </c>
      <c r="B31" s="65"/>
      <c r="C31" s="65"/>
      <c r="D31" s="65"/>
      <c r="E31" s="65"/>
      <c r="F31" s="65"/>
      <c r="G31" s="65"/>
      <c r="H31" s="65"/>
      <c r="I31" s="65"/>
    </row>
    <row r="32" spans="1:9" x14ac:dyDescent="0.35">
      <c r="A32" s="1" t="s">
        <v>177</v>
      </c>
      <c r="B32" s="1" t="s">
        <v>178</v>
      </c>
      <c r="C32" s="1" t="s">
        <v>179</v>
      </c>
      <c r="D32" s="1" t="s">
        <v>180</v>
      </c>
      <c r="E32" s="1" t="s">
        <v>5</v>
      </c>
      <c r="F32" s="32" t="s">
        <v>181</v>
      </c>
      <c r="G32" s="1" t="s">
        <v>182</v>
      </c>
      <c r="H32" s="1" t="s">
        <v>183</v>
      </c>
      <c r="I32" s="1" t="s">
        <v>184</v>
      </c>
    </row>
    <row r="33" spans="1:9" x14ac:dyDescent="0.35">
      <c r="A33" s="6"/>
      <c r="B33" s="7"/>
      <c r="C33" s="7"/>
      <c r="D33" s="6" t="str">
        <f>IF(AND(ISNUMBER(B33), ISNUMBER(C33)), B33*C33*$B$3, "")</f>
        <v/>
      </c>
      <c r="E33" s="6" t="str">
        <f>IF(A33="","",VLOOKUP(A33, Base_Donnees!A:F, 6, FALSE))</f>
        <v/>
      </c>
      <c r="F33" s="33" t="str">
        <f>IF(ISNUMBER(D33), D33*E33, "")</f>
        <v/>
      </c>
      <c r="G33" s="6" t="str">
        <f>IF(A33="","",IF(ISNUMBER(D33), IFERROR((D33/VLOOKUP(A33, Base_Donnees!A:F, 3, FALSE))*1000, "-"), ""))</f>
        <v/>
      </c>
      <c r="H33" s="6" t="str">
        <f>IF(A33="","",VLOOKUP(A33, Base_Donnees!A:F, 4, FALSE))</f>
        <v/>
      </c>
      <c r="I33" s="6" t="str">
        <f>IF(A33="","",VLOOKUP(A33, Base_Donnees!A:F, 5, FALSE))</f>
        <v/>
      </c>
    </row>
    <row r="35" spans="1:9" x14ac:dyDescent="0.35">
      <c r="A35" s="66" t="s">
        <v>186</v>
      </c>
      <c r="B35" s="65"/>
      <c r="C35" s="65"/>
      <c r="D35" s="65"/>
      <c r="E35" s="65"/>
      <c r="F35" s="65"/>
      <c r="G35" s="65"/>
      <c r="H35" s="65"/>
      <c r="I35" s="65"/>
    </row>
    <row r="36" spans="1:9" x14ac:dyDescent="0.35">
      <c r="A36" s="1" t="s">
        <v>177</v>
      </c>
      <c r="B36" s="1" t="s">
        <v>178</v>
      </c>
      <c r="C36" s="1" t="s">
        <v>179</v>
      </c>
      <c r="D36" s="1" t="s">
        <v>180</v>
      </c>
      <c r="E36" s="1" t="s">
        <v>5</v>
      </c>
      <c r="F36" s="32" t="s">
        <v>181</v>
      </c>
      <c r="G36" s="1" t="s">
        <v>182</v>
      </c>
      <c r="H36" s="1" t="s">
        <v>183</v>
      </c>
      <c r="I36" s="1" t="s">
        <v>184</v>
      </c>
    </row>
    <row r="37" spans="1:9" x14ac:dyDescent="0.35">
      <c r="A37" s="6"/>
      <c r="B37" s="7"/>
      <c r="C37" s="7"/>
      <c r="D37" s="6" t="str">
        <f>IF(AND(ISNUMBER(B37), ISNUMBER(C37)), B37*C37*$B$3, "")</f>
        <v/>
      </c>
      <c r="E37" s="6" t="str">
        <f>IF(A37="","",VLOOKUP(A37, Base_Donnees!A:F, 6, FALSE))</f>
        <v/>
      </c>
      <c r="F37" s="33" t="str">
        <f>IF(ISNUMBER(D37), D37*E37, "")</f>
        <v/>
      </c>
      <c r="G37" s="6" t="str">
        <f>IF(A37="","",IF(ISNUMBER(D37), IFERROR((D37/VLOOKUP(A37, Base_Donnees!A:F, 3, FALSE))*1000, "-"), ""))</f>
        <v/>
      </c>
      <c r="H37" s="6" t="str">
        <f>IF(A37="","",VLOOKUP(A37, Base_Donnees!A:F, 4, FALSE))</f>
        <v/>
      </c>
      <c r="I37" s="6" t="str">
        <f>IF(A37="","",VLOOKUP(A37, Base_Donnees!A:F, 5, FALSE))</f>
        <v/>
      </c>
    </row>
    <row r="39" spans="1:9" x14ac:dyDescent="0.35">
      <c r="A39" s="66" t="s">
        <v>187</v>
      </c>
      <c r="B39" s="65"/>
      <c r="C39" s="65"/>
      <c r="D39" s="65"/>
      <c r="E39" s="65"/>
      <c r="F39" s="65"/>
      <c r="G39" s="65"/>
      <c r="H39" s="65"/>
      <c r="I39" s="65"/>
    </row>
    <row r="40" spans="1:9" x14ac:dyDescent="0.35">
      <c r="A40" s="1" t="s">
        <v>177</v>
      </c>
      <c r="B40" s="1" t="s">
        <v>178</v>
      </c>
      <c r="C40" s="1" t="s">
        <v>179</v>
      </c>
      <c r="D40" s="1" t="s">
        <v>180</v>
      </c>
      <c r="E40" s="1" t="s">
        <v>5</v>
      </c>
      <c r="F40" s="32" t="s">
        <v>181</v>
      </c>
      <c r="G40" s="1" t="s">
        <v>182</v>
      </c>
      <c r="H40" s="1" t="s">
        <v>183</v>
      </c>
      <c r="I40" s="1" t="s">
        <v>184</v>
      </c>
    </row>
    <row r="41" spans="1:9" x14ac:dyDescent="0.35">
      <c r="A41" s="6" t="s">
        <v>65</v>
      </c>
      <c r="B41" s="7">
        <v>2</v>
      </c>
      <c r="C41" s="7">
        <v>1</v>
      </c>
      <c r="D41" s="6">
        <f>IF(AND(ISNUMBER(B41), ISNUMBER(C41)), B41*C41*$B$3, "")</f>
        <v>8</v>
      </c>
      <c r="E41" s="6">
        <f>IF(A41="","",VLOOKUP(A41, Base_Donnees!A:F, 6, FALSE))</f>
        <v>410.55</v>
      </c>
      <c r="F41" s="33">
        <f>IF(ISNUMBER(D41), D41*E41, "")</f>
        <v>3284.4</v>
      </c>
      <c r="G41" s="6">
        <f>IF(A41="","",IF(ISNUMBER(D41), IFERROR((D41/VLOOKUP(A41, Base_Donnees!A:F, 3, FALSE))*1000, "-"), ""))</f>
        <v>13.559322033898304</v>
      </c>
      <c r="H41" s="6" t="str">
        <f>IF(A41="","",VLOOKUP(A41, Base_Donnees!A:F, 4, FALSE))</f>
        <v>4 min</v>
      </c>
      <c r="I41" s="6" t="str">
        <f>IF(A41="","",VLOOKUP(A41, Base_Donnees!A:F, 5, FALSE))</f>
        <v>Idéal pour chélater et nettoyer les goutteurs.</v>
      </c>
    </row>
    <row r="42" spans="1:9" x14ac:dyDescent="0.35">
      <c r="A42" s="6" t="s">
        <v>55</v>
      </c>
      <c r="B42" s="7">
        <v>1</v>
      </c>
      <c r="C42" s="7">
        <v>1</v>
      </c>
      <c r="D42" s="6">
        <f>IF(AND(ISNUMBER(B42), ISNUMBER(C42)), B42*C42*$B$3, "")</f>
        <v>4</v>
      </c>
      <c r="E42" s="6">
        <f>IF(A42="","",VLOOKUP(A42, Base_Donnees!A:F, 6, FALSE))</f>
        <v>378.15</v>
      </c>
      <c r="F42" s="33">
        <f>IF(ISNUMBER(D42), D42*E42, "")</f>
        <v>1512.6</v>
      </c>
      <c r="G42" s="6">
        <f>IF(A42="","",IF(ISNUMBER(D42), IFERROR((D42/VLOOKUP(A42, Base_Donnees!A:F, 3, FALSE))*1000, "-"), ""))</f>
        <v>0.8</v>
      </c>
      <c r="H42" s="6" t="str">
        <f>IF(A42="","",VLOOKUP(A42, Base_Donnees!A:F, 4, FALSE))</f>
        <v>1 min</v>
      </c>
      <c r="I42" s="6" t="str">
        <f>IF(A42="","",VLOOKUP(A42, Base_Donnees!A:F, 5, FALSE))</f>
        <v>CORROSIF : Gants + lunettes obligatoires.</v>
      </c>
    </row>
    <row r="44" spans="1:9" x14ac:dyDescent="0.35">
      <c r="E44" s="8" t="s">
        <v>189</v>
      </c>
      <c r="F44" s="35">
        <f>SUM(F10,F14,F15,F16,F20,F24,F29,F33,F37,F41,F42)</f>
        <v>22797</v>
      </c>
    </row>
    <row r="46" spans="1:9" x14ac:dyDescent="0.35">
      <c r="A46" s="64" t="s">
        <v>190</v>
      </c>
      <c r="B46" s="65"/>
      <c r="C46" s="65"/>
      <c r="D46" s="65"/>
      <c r="E46" s="65"/>
      <c r="F46" s="65"/>
      <c r="G46" s="65"/>
      <c r="H46" s="65"/>
      <c r="I46" s="65"/>
    </row>
    <row r="47" spans="1:9" x14ac:dyDescent="0.35">
      <c r="A47" s="10" t="s">
        <v>191</v>
      </c>
      <c r="B47" s="10" t="s">
        <v>192</v>
      </c>
      <c r="C47" s="10" t="s">
        <v>193</v>
      </c>
      <c r="D47" s="10" t="s">
        <v>194</v>
      </c>
      <c r="E47" s="10" t="s">
        <v>5</v>
      </c>
      <c r="F47" s="36" t="s">
        <v>195</v>
      </c>
      <c r="G47" s="10" t="s">
        <v>196</v>
      </c>
      <c r="H47" s="10" t="s">
        <v>197</v>
      </c>
      <c r="I47" s="10"/>
    </row>
    <row r="48" spans="1:9" x14ac:dyDescent="0.35">
      <c r="A48" s="6" t="s">
        <v>78</v>
      </c>
      <c r="B48" s="7">
        <v>1.5</v>
      </c>
      <c r="C48" s="6">
        <f>$B$3</f>
        <v>4</v>
      </c>
      <c r="D48" s="6">
        <f>IF(ISNUMBER(B48), B48*C48, "")</f>
        <v>6</v>
      </c>
      <c r="E48" s="6">
        <f>IF(A48="","",VLOOKUP(A48, Base_Donnees!A:F, 6, FALSE))</f>
        <v>2000</v>
      </c>
      <c r="F48" s="33">
        <f>IF(ISNUMBER(D48), D48*E48, "")</f>
        <v>12000</v>
      </c>
      <c r="G48" s="6" t="str">
        <f>IF(A48="","",VLOOKUP(A48, Base_Donnees!A:F, 5, FALSE))</f>
        <v>Soutien de la vigueur foliaire et division.</v>
      </c>
      <c r="H48" s="6" t="str">
        <f>IF(A48="","",VLOOKUP(A48, Base_Donnees!A:F, 4, FALSE))</f>
        <v>Extrait d'algues</v>
      </c>
      <c r="I48" s="6"/>
    </row>
    <row r="49" spans="1:9" x14ac:dyDescent="0.35">
      <c r="A49" s="6" t="s">
        <v>37</v>
      </c>
      <c r="B49" s="7">
        <v>1.5</v>
      </c>
      <c r="C49" s="6">
        <f>$B$3</f>
        <v>4</v>
      </c>
      <c r="D49" s="6">
        <f>IF(ISNUMBER(B49), B49*C49, "")</f>
        <v>6</v>
      </c>
      <c r="E49" s="6">
        <f>IF(A49="","",VLOOKUP(A49, Base_Donnees!A:F, 6, FALSE))</f>
        <v>3450</v>
      </c>
      <c r="F49" s="33">
        <f>IF(ISNUMBER(D49), D49*E49, "")</f>
        <v>20700</v>
      </c>
      <c r="G49" s="6" t="str">
        <f>IF(A49="","",VLOOKUP(A49, Base_Donnees!A:F, 5, FALSE))</f>
        <v>Mélange complet d'oligo-éléments chélatés.</v>
      </c>
      <c r="H49" s="6" t="str">
        <f>IF(A49="","",VLOOKUP(A49, Base_Donnees!A:F, 4, FALSE))</f>
        <v>10 min</v>
      </c>
      <c r="I49" s="6"/>
    </row>
    <row r="50" spans="1:9" x14ac:dyDescent="0.35">
      <c r="A50" s="6"/>
      <c r="B50" s="7"/>
      <c r="C50" s="6">
        <f>$B$3</f>
        <v>4</v>
      </c>
      <c r="D50" s="6" t="str">
        <f>IF(ISNUMBER(B50), B50*C50, "")</f>
        <v/>
      </c>
      <c r="E50" s="6" t="str">
        <f>IF(A50="","",VLOOKUP(A50, Base_Donnees!A:F, 6, FALSE))</f>
        <v/>
      </c>
      <c r="F50" s="33" t="str">
        <f>IF(ISNUMBER(D50), D50*E50, "")</f>
        <v/>
      </c>
      <c r="G50" s="6" t="str">
        <f>IF(A50="","",VLOOKUP(A50, Base_Donnees!A:F, 5, FALSE))</f>
        <v/>
      </c>
      <c r="H50" s="6" t="str">
        <f>IF(A50="","",VLOOKUP(A50, Base_Donnees!A:F, 4, FALSE))</f>
        <v/>
      </c>
      <c r="I50" s="6"/>
    </row>
    <row r="51" spans="1:9" x14ac:dyDescent="0.35">
      <c r="E51" s="8" t="s">
        <v>198</v>
      </c>
      <c r="F51" s="37">
        <f>SUM(F48,F49,F50)</f>
        <v>32700</v>
      </c>
    </row>
    <row r="53" spans="1:9" x14ac:dyDescent="0.35">
      <c r="A53" s="64" t="s">
        <v>199</v>
      </c>
      <c r="B53" s="65"/>
      <c r="C53" s="65"/>
      <c r="D53" s="65"/>
      <c r="E53" s="65"/>
      <c r="F53" s="65"/>
      <c r="G53" s="65"/>
      <c r="H53" s="65"/>
      <c r="I53" s="65"/>
    </row>
    <row r="54" spans="1:9" x14ac:dyDescent="0.35">
      <c r="A54" s="12" t="s">
        <v>200</v>
      </c>
      <c r="B54" s="12" t="s">
        <v>201</v>
      </c>
      <c r="C54" s="12" t="s">
        <v>193</v>
      </c>
      <c r="D54" s="12" t="s">
        <v>194</v>
      </c>
      <c r="E54" s="12" t="s">
        <v>5</v>
      </c>
      <c r="F54" s="38" t="s">
        <v>195</v>
      </c>
      <c r="G54" s="12" t="s">
        <v>202</v>
      </c>
      <c r="H54" s="12" t="s">
        <v>203</v>
      </c>
      <c r="I54" s="12" t="s">
        <v>204</v>
      </c>
    </row>
    <row r="55" spans="1:9" x14ac:dyDescent="0.35">
      <c r="A55" s="6"/>
      <c r="B55" s="7"/>
      <c r="C55" s="6">
        <f>$B$3</f>
        <v>4</v>
      </c>
      <c r="D55" s="6" t="str">
        <f>IF(ISNUMBER(B55), B55*C55, "")</f>
        <v/>
      </c>
      <c r="E55" s="6" t="str">
        <f>IF(A55="","",VLOOKUP(A55, Base_Donnees!A:F, 6, FALSE))</f>
        <v/>
      </c>
      <c r="F55" s="33" t="str">
        <f>IF(ISNUMBER(D55), D55*E55, "")</f>
        <v/>
      </c>
      <c r="G55" s="6" t="str">
        <f>IF(A55="","",VLOOKUP(A55, Base_Donnees!A:F, 3, FALSE))</f>
        <v/>
      </c>
      <c r="H55" s="6" t="str">
        <f>IF(A55="","",VLOOKUP(A55, Base_Donnees!A:F, 4, FALSE))</f>
        <v/>
      </c>
      <c r="I55" s="6" t="str">
        <f>IF(A55="","",VLOOKUP(A55, Base_Donnees!A:F, 5, FALSE))</f>
        <v/>
      </c>
    </row>
    <row r="56" spans="1:9" x14ac:dyDescent="0.35">
      <c r="A56" s="6"/>
      <c r="B56" s="7"/>
      <c r="C56" s="6">
        <f>$B$3</f>
        <v>4</v>
      </c>
      <c r="D56" s="6" t="str">
        <f>IF(ISNUMBER(B56), B56*C56, "")</f>
        <v/>
      </c>
      <c r="E56" s="6" t="str">
        <f>IF(A56="","",VLOOKUP(A56, Base_Donnees!A:F, 6, FALSE))</f>
        <v/>
      </c>
      <c r="F56" s="33" t="str">
        <f>IF(ISNUMBER(D56), D56*E56, "")</f>
        <v/>
      </c>
      <c r="G56" s="6" t="str">
        <f>IF(A56="","",VLOOKUP(A56, Base_Donnees!A:F, 3, FALSE))</f>
        <v/>
      </c>
      <c r="H56" s="6" t="str">
        <f>IF(A56="","",VLOOKUP(A56, Base_Donnees!A:F, 4, FALSE))</f>
        <v/>
      </c>
      <c r="I56" s="6" t="str">
        <f>IF(A56="","",VLOOKUP(A56, Base_Donnees!A:F, 5, FALSE))</f>
        <v/>
      </c>
    </row>
    <row r="57" spans="1:9" x14ac:dyDescent="0.35">
      <c r="A57" s="6"/>
      <c r="B57" s="7"/>
      <c r="C57" s="6">
        <f>$B$3</f>
        <v>4</v>
      </c>
      <c r="D57" s="6" t="str">
        <f>IF(ISNUMBER(B57), B57*C57, "")</f>
        <v/>
      </c>
      <c r="E57" s="6" t="str">
        <f>IF(A57="","",VLOOKUP(A57, Base_Donnees!A:F, 6, FALSE))</f>
        <v/>
      </c>
      <c r="F57" s="33" t="str">
        <f>IF(ISNUMBER(D57), D57*E57, "")</f>
        <v/>
      </c>
      <c r="G57" s="6" t="str">
        <f>IF(A57="","",VLOOKUP(A57, Base_Donnees!A:F, 3, FALSE))</f>
        <v/>
      </c>
      <c r="H57" s="6" t="str">
        <f>IF(A57="","",VLOOKUP(A57, Base_Donnees!A:F, 4, FALSE))</f>
        <v/>
      </c>
      <c r="I57" s="6" t="str">
        <f>IF(A57="","",VLOOKUP(A57, Base_Donnees!A:F, 5, FALSE))</f>
        <v/>
      </c>
    </row>
    <row r="58" spans="1:9" x14ac:dyDescent="0.35">
      <c r="E58" s="8" t="s">
        <v>205</v>
      </c>
      <c r="F58" s="37">
        <f>SUM(F55,F56,F57)</f>
        <v>0</v>
      </c>
    </row>
  </sheetData>
  <mergeCells count="13">
    <mergeCell ref="A1:I1"/>
    <mergeCell ref="A18:I18"/>
    <mergeCell ref="A27:I27"/>
    <mergeCell ref="A8:I8"/>
    <mergeCell ref="A31:I31"/>
    <mergeCell ref="A22:I22"/>
    <mergeCell ref="A53:I53"/>
    <mergeCell ref="A12:I12"/>
    <mergeCell ref="A26:I26"/>
    <mergeCell ref="A35:I35"/>
    <mergeCell ref="A7:I7"/>
    <mergeCell ref="A46:I46"/>
    <mergeCell ref="A39:I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8"/>
  <sheetViews>
    <sheetView topLeftCell="A43" workbookViewId="0">
      <selection activeCell="F43" sqref="F1:F1048576"/>
    </sheetView>
  </sheetViews>
  <sheetFormatPr baseColWidth="10" defaultColWidth="8.7265625" defaultRowHeight="14.5" x14ac:dyDescent="0.35"/>
  <cols>
    <col min="1" max="1" width="42" customWidth="1"/>
    <col min="2" max="3" width="15" customWidth="1"/>
    <col min="4" max="5" width="20" customWidth="1"/>
    <col min="6" max="6" width="20" style="21" customWidth="1"/>
    <col min="7" max="7" width="15" customWidth="1"/>
    <col min="8" max="8" width="20" customWidth="1"/>
    <col min="9" max="9" width="45" customWidth="1"/>
  </cols>
  <sheetData>
    <row r="1" spans="1:9" ht="19" x14ac:dyDescent="0.35">
      <c r="A1" s="68" t="s">
        <v>206</v>
      </c>
      <c r="B1" s="65"/>
      <c r="C1" s="65"/>
      <c r="D1" s="65"/>
      <c r="E1" s="65"/>
      <c r="F1" s="65"/>
      <c r="G1" s="65"/>
      <c r="H1" s="65"/>
      <c r="I1" s="65"/>
    </row>
    <row r="3" spans="1:9" x14ac:dyDescent="0.35">
      <c r="A3" t="s">
        <v>170</v>
      </c>
      <c r="B3" s="4">
        <v>2</v>
      </c>
    </row>
    <row r="4" spans="1:9" x14ac:dyDescent="0.35">
      <c r="A4" t="s">
        <v>171</v>
      </c>
      <c r="B4" s="4" t="s">
        <v>210</v>
      </c>
    </row>
    <row r="5" spans="1:9" x14ac:dyDescent="0.35">
      <c r="A5" t="s">
        <v>173</v>
      </c>
      <c r="B5" s="28" t="s">
        <v>220</v>
      </c>
    </row>
    <row r="7" spans="1:9" ht="16.5" x14ac:dyDescent="0.35">
      <c r="A7" s="67" t="s">
        <v>175</v>
      </c>
      <c r="B7" s="65"/>
      <c r="C7" s="65"/>
      <c r="D7" s="65"/>
      <c r="E7" s="65"/>
      <c r="F7" s="65"/>
      <c r="G7" s="65"/>
      <c r="H7" s="65"/>
      <c r="I7" s="65"/>
    </row>
    <row r="8" spans="1:9" x14ac:dyDescent="0.35">
      <c r="A8" s="66" t="s">
        <v>176</v>
      </c>
      <c r="B8" s="65"/>
      <c r="C8" s="65"/>
      <c r="D8" s="65"/>
      <c r="E8" s="65"/>
      <c r="F8" s="65"/>
      <c r="G8" s="65"/>
      <c r="H8" s="65"/>
      <c r="I8" s="65"/>
    </row>
    <row r="9" spans="1:9" x14ac:dyDescent="0.35">
      <c r="A9" s="1" t="s">
        <v>177</v>
      </c>
      <c r="B9" s="1" t="s">
        <v>178</v>
      </c>
      <c r="C9" s="1" t="s">
        <v>179</v>
      </c>
      <c r="D9" s="1" t="s">
        <v>180</v>
      </c>
      <c r="E9" s="1" t="s">
        <v>5</v>
      </c>
      <c r="F9" s="32" t="s">
        <v>181</v>
      </c>
      <c r="G9" s="1" t="s">
        <v>182</v>
      </c>
      <c r="H9" s="1" t="s">
        <v>183</v>
      </c>
      <c r="I9" s="1" t="s">
        <v>184</v>
      </c>
    </row>
    <row r="10" spans="1:9" x14ac:dyDescent="0.35">
      <c r="A10" s="6"/>
      <c r="B10" s="7"/>
      <c r="C10" s="7"/>
      <c r="D10" s="6" t="str">
        <f>IF(AND(ISNUMBER(B10), ISNUMBER(C10)), B10*C10*$B$3, "")</f>
        <v/>
      </c>
      <c r="E10" s="6" t="str">
        <f>IF(A10="","",VLOOKUP(A10, Base_Donnees!A:F, 6, FALSE))</f>
        <v/>
      </c>
      <c r="F10" s="33" t="str">
        <f>IF(ISNUMBER(D10), D10*E10, "")</f>
        <v/>
      </c>
      <c r="G10" s="6" t="str">
        <f>IF(A10="","",IF(ISNUMBER(D10), IFERROR((D10/VLOOKUP(A10, Base_Donnees!A:F, 3, FALSE))*1000, "-"), ""))</f>
        <v/>
      </c>
      <c r="H10" s="6" t="str">
        <f>IF(A10="","",VLOOKUP(A10, Base_Donnees!A:F, 4, FALSE))</f>
        <v/>
      </c>
      <c r="I10" s="6" t="str">
        <f>IF(A10="","",VLOOKUP(A10, Base_Donnees!A:F, 5, FALSE))</f>
        <v/>
      </c>
    </row>
    <row r="12" spans="1:9" x14ac:dyDescent="0.35">
      <c r="A12" s="66" t="s">
        <v>185</v>
      </c>
      <c r="B12" s="65"/>
      <c r="C12" s="65"/>
      <c r="D12" s="65"/>
      <c r="E12" s="65"/>
      <c r="F12" s="65"/>
      <c r="G12" s="65"/>
      <c r="H12" s="65"/>
      <c r="I12" s="65"/>
    </row>
    <row r="13" spans="1:9" x14ac:dyDescent="0.35">
      <c r="A13" s="1" t="s">
        <v>177</v>
      </c>
      <c r="B13" s="1" t="s">
        <v>178</v>
      </c>
      <c r="C13" s="1" t="s">
        <v>179</v>
      </c>
      <c r="D13" s="1" t="s">
        <v>180</v>
      </c>
      <c r="E13" s="1" t="s">
        <v>5</v>
      </c>
      <c r="F13" s="32" t="s">
        <v>181</v>
      </c>
      <c r="G13" s="1" t="s">
        <v>182</v>
      </c>
      <c r="H13" s="1" t="s">
        <v>183</v>
      </c>
      <c r="I13" s="1" t="s">
        <v>184</v>
      </c>
    </row>
    <row r="14" spans="1:9" x14ac:dyDescent="0.35">
      <c r="A14" s="6" t="s">
        <v>19</v>
      </c>
      <c r="B14" s="7">
        <v>2.5</v>
      </c>
      <c r="C14" s="7">
        <v>2</v>
      </c>
      <c r="D14" s="6">
        <f>IF(AND(ISNUMBER(B14), ISNUMBER(C14)), B14*C14*$B$3, "")</f>
        <v>10</v>
      </c>
      <c r="E14" s="6">
        <f>IF(A14="","",VLOOKUP(A14, Base_Donnees!A:F, 6, FALSE))</f>
        <v>45</v>
      </c>
      <c r="F14" s="33">
        <f>IF(ISNUMBER(D14), D14*E14, "")</f>
        <v>450</v>
      </c>
      <c r="G14" s="6">
        <f>IF(A14="","",IF(ISNUMBER(D14), IFERROR((D14/VLOOKUP(A14, Base_Donnees!A:F, 3, FALSE))*1000, "-"), ""))</f>
        <v>95.238095238095227</v>
      </c>
      <c r="H14" s="6" t="str">
        <f>IF(A14="","",VLOOKUP(A14, Base_Donnees!A:F, 4, FALSE))</f>
        <v>5 min</v>
      </c>
      <c r="I14" s="6" t="str">
        <f>IF(A14="","",VLOOKUP(A14, Base_Donnees!A:F, 5, FALSE))</f>
        <v>Très soluble. Refroidit l'eau (endothermique).</v>
      </c>
    </row>
    <row r="15" spans="1:9" x14ac:dyDescent="0.35">
      <c r="A15" s="6" t="s">
        <v>28</v>
      </c>
      <c r="B15" s="7">
        <v>2.5</v>
      </c>
      <c r="C15" s="7">
        <v>2</v>
      </c>
      <c r="D15" s="6">
        <f>IF(AND(ISNUMBER(B15), ISNUMBER(C15)), B15*C15*$B$3, "")</f>
        <v>10</v>
      </c>
      <c r="E15" s="6">
        <f>IF(A15="","",VLOOKUP(A15, Base_Donnees!A:F, 6, FALSE))</f>
        <v>220</v>
      </c>
      <c r="F15" s="33">
        <f>IF(ISNUMBER(D15), D15*E15, "")</f>
        <v>2200</v>
      </c>
      <c r="G15" s="6">
        <f>IF(A15="","",IF(ISNUMBER(D15), IFERROR((D15/VLOOKUP(A15, Base_Donnees!A:F, 3, FALSE))*1000, "-"), ""))</f>
        <v>1000</v>
      </c>
      <c r="H15" s="6" t="str">
        <f>IF(A15="","",VLOOKUP(A15, Base_Donnees!A:F, 4, FALSE))</f>
        <v>20 min</v>
      </c>
      <c r="I15" s="6" t="str">
        <f>IF(A15="","",VLOOKUP(A15, Base_Donnees!A:F, 5, FALSE))</f>
        <v>Le plus difficile à dissoudre du marché.</v>
      </c>
    </row>
    <row r="16" spans="1:9" x14ac:dyDescent="0.35">
      <c r="A16" s="6" t="s">
        <v>32</v>
      </c>
      <c r="B16" s="7">
        <v>1.5</v>
      </c>
      <c r="C16" s="7">
        <v>2</v>
      </c>
      <c r="D16" s="6">
        <f>IF(AND(ISNUMBER(B16), ISNUMBER(C16)), B16*C16*$B$3, "")</f>
        <v>6</v>
      </c>
      <c r="E16" s="6">
        <f>IF(A16="","",VLOOKUP(A16, Base_Donnees!A:F, 6, FALSE))</f>
        <v>260</v>
      </c>
      <c r="F16" s="33">
        <f>IF(ISNUMBER(D16), D16*E16, "")</f>
        <v>1560</v>
      </c>
      <c r="G16" s="6">
        <f>IF(A16="","",IF(ISNUMBER(D16), IFERROR((D16/VLOOKUP(A16, Base_Donnees!A:F, 3, FALSE))*1000, "-"), ""))</f>
        <v>85.714285714285708</v>
      </c>
      <c r="H16" s="6" t="str">
        <f>IF(A16="","",VLOOKUP(A16, Base_Donnees!A:F, 4, FALSE))</f>
        <v>8 min</v>
      </c>
      <c r="I16" s="6" t="str">
        <f>IF(A16="","",VLOOKUP(A16, Base_Donnees!A:F, 5, FALSE))</f>
        <v>Excellente source de magnésium soluble.</v>
      </c>
    </row>
    <row r="18" spans="1:9" x14ac:dyDescent="0.35">
      <c r="A18" s="66" t="s">
        <v>186</v>
      </c>
      <c r="B18" s="65"/>
      <c r="C18" s="65"/>
      <c r="D18" s="65"/>
      <c r="E18" s="65"/>
      <c r="F18" s="65"/>
      <c r="G18" s="65"/>
      <c r="H18" s="65"/>
      <c r="I18" s="65"/>
    </row>
    <row r="19" spans="1:9" x14ac:dyDescent="0.35">
      <c r="A19" s="1" t="s">
        <v>177</v>
      </c>
      <c r="B19" s="1" t="s">
        <v>178</v>
      </c>
      <c r="C19" s="1" t="s">
        <v>179</v>
      </c>
      <c r="D19" s="1" t="s">
        <v>180</v>
      </c>
      <c r="E19" s="1" t="s">
        <v>5</v>
      </c>
      <c r="F19" s="32" t="s">
        <v>181</v>
      </c>
      <c r="G19" s="1" t="s">
        <v>182</v>
      </c>
      <c r="H19" s="1" t="s">
        <v>183</v>
      </c>
      <c r="I19" s="1" t="s">
        <v>184</v>
      </c>
    </row>
    <row r="20" spans="1:9" x14ac:dyDescent="0.35">
      <c r="A20" s="6"/>
      <c r="B20" s="7"/>
      <c r="C20" s="7"/>
      <c r="D20" s="6" t="str">
        <f>IF(AND(ISNUMBER(B20), ISNUMBER(C20)), B20*C20*$B$3, "")</f>
        <v/>
      </c>
      <c r="E20" s="6" t="str">
        <f>IF(A20="","",VLOOKUP(A20, Base_Donnees!A:F, 6, FALSE))</f>
        <v/>
      </c>
      <c r="F20" s="33" t="str">
        <f>IF(ISNUMBER(D20), D20*E20, "")</f>
        <v/>
      </c>
      <c r="G20" s="6" t="str">
        <f>IF(A20="","",IF(ISNUMBER(D20), IFERROR((D20/VLOOKUP(A20, Base_Donnees!A:F, 3, FALSE))*1000, "-"), ""))</f>
        <v/>
      </c>
      <c r="H20" s="6" t="str">
        <f>IF(A20="","",VLOOKUP(A20, Base_Donnees!A:F, 4, FALSE))</f>
        <v/>
      </c>
      <c r="I20" s="6" t="str">
        <f>IF(A20="","",VLOOKUP(A20, Base_Donnees!A:F, 5, FALSE))</f>
        <v/>
      </c>
    </row>
    <row r="22" spans="1:9" x14ac:dyDescent="0.35">
      <c r="A22" s="66" t="s">
        <v>187</v>
      </c>
      <c r="B22" s="65"/>
      <c r="C22" s="65"/>
      <c r="D22" s="65"/>
      <c r="E22" s="65"/>
      <c r="F22" s="65"/>
      <c r="G22" s="65"/>
      <c r="H22" s="65"/>
      <c r="I22" s="65"/>
    </row>
    <row r="23" spans="1:9" x14ac:dyDescent="0.35">
      <c r="A23" s="1" t="s">
        <v>177</v>
      </c>
      <c r="B23" s="1" t="s">
        <v>178</v>
      </c>
      <c r="C23" s="1" t="s">
        <v>179</v>
      </c>
      <c r="D23" s="1" t="s">
        <v>180</v>
      </c>
      <c r="E23" s="1" t="s">
        <v>5</v>
      </c>
      <c r="F23" s="32" t="s">
        <v>181</v>
      </c>
      <c r="G23" s="1" t="s">
        <v>182</v>
      </c>
      <c r="H23" s="1" t="s">
        <v>183</v>
      </c>
      <c r="I23" s="1" t="s">
        <v>184</v>
      </c>
    </row>
    <row r="24" spans="1:9" x14ac:dyDescent="0.35">
      <c r="A24" s="6" t="s">
        <v>63</v>
      </c>
      <c r="B24" s="7">
        <v>2.5</v>
      </c>
      <c r="C24" s="7">
        <v>2</v>
      </c>
      <c r="D24" s="6">
        <f>IF(AND(ISNUMBER(B24), ISNUMBER(C24)), B24*C24*$B$3, "")</f>
        <v>10</v>
      </c>
      <c r="E24" s="6">
        <f>IF(A24="","",VLOOKUP(A24, Base_Donnees!A:F, 6, FALSE))</f>
        <v>500</v>
      </c>
      <c r="F24" s="33">
        <f>IF(ISNUMBER(D24), D24*E24, "")</f>
        <v>5000</v>
      </c>
      <c r="G24" s="6">
        <f>IF(A24="","",IF(ISNUMBER(D24), IFERROR((D24/VLOOKUP(A24, Base_Donnees!A:F, 3, FALSE))*1000, "-"), ""))</f>
        <v>2</v>
      </c>
      <c r="H24" s="6" t="str">
        <f>IF(A24="","",VLOOKUP(A24, Base_Donnees!A:F, 4, FALSE))</f>
        <v>1 min</v>
      </c>
      <c r="I24" s="6" t="str">
        <f>IF(A24="","",VLOOKUP(A24, Base_Donnees!A:F, 5, FALSE))</f>
        <v>Sécurité : Toujours verser l'acide dans l'eau.</v>
      </c>
    </row>
    <row r="26" spans="1:9" ht="16.5" x14ac:dyDescent="0.35">
      <c r="A26" s="69" t="s">
        <v>188</v>
      </c>
      <c r="B26" s="65"/>
      <c r="C26" s="65"/>
      <c r="D26" s="65"/>
      <c r="E26" s="65"/>
      <c r="F26" s="65"/>
      <c r="G26" s="65"/>
      <c r="H26" s="65"/>
      <c r="I26" s="65"/>
    </row>
    <row r="27" spans="1:9" x14ac:dyDescent="0.35">
      <c r="A27" s="66" t="s">
        <v>176</v>
      </c>
      <c r="B27" s="65"/>
      <c r="C27" s="65"/>
      <c r="D27" s="65"/>
      <c r="E27" s="65"/>
      <c r="F27" s="65"/>
      <c r="G27" s="65"/>
      <c r="H27" s="65"/>
      <c r="I27" s="65"/>
    </row>
    <row r="28" spans="1:9" x14ac:dyDescent="0.35">
      <c r="A28" s="1" t="s">
        <v>177</v>
      </c>
      <c r="B28" s="1" t="s">
        <v>178</v>
      </c>
      <c r="C28" s="1" t="s">
        <v>179</v>
      </c>
      <c r="D28" s="1" t="s">
        <v>180</v>
      </c>
      <c r="E28" s="1" t="s">
        <v>5</v>
      </c>
      <c r="F28" s="32" t="s">
        <v>181</v>
      </c>
      <c r="G28" s="1" t="s">
        <v>182</v>
      </c>
      <c r="H28" s="1" t="s">
        <v>183</v>
      </c>
      <c r="I28" s="1" t="s">
        <v>184</v>
      </c>
    </row>
    <row r="29" spans="1:9" x14ac:dyDescent="0.35">
      <c r="A29" s="6" t="s">
        <v>12</v>
      </c>
      <c r="B29" s="7">
        <v>5</v>
      </c>
      <c r="C29" s="7">
        <v>1</v>
      </c>
      <c r="D29" s="6">
        <f>IF(AND(ISNUMBER(B29), ISNUMBER(C29)), B29*C29*$B$3, "")</f>
        <v>10</v>
      </c>
      <c r="E29" s="6">
        <f>IF(A29="","",VLOOKUP(A29, Base_Donnees!A:F, 6, FALSE))</f>
        <v>160</v>
      </c>
      <c r="F29" s="33">
        <f>IF(ISNUMBER(D29), D29*E29, "")</f>
        <v>1600</v>
      </c>
      <c r="G29" s="6">
        <f>IF(A29="","",IF(ISNUMBER(D29), IFERROR((D29/VLOOKUP(A29, Base_Donnees!A:F, 3, FALSE))*1000, "-"), ""))</f>
        <v>83.333333333333329</v>
      </c>
      <c r="H29" s="6" t="str">
        <f>IF(A29="","",VLOOKUP(A29, Base_Donnees!A:F, 4, FALSE))</f>
        <v>6 min</v>
      </c>
      <c r="I29" s="6" t="str">
        <f>IF(A29="","",VLOOKUP(A29, Base_Donnees!A:F, 5, FALSE))</f>
        <v>CRITIQUE : Isoler totalement des Sulfates/Phosphates.</v>
      </c>
    </row>
    <row r="31" spans="1:9" x14ac:dyDescent="0.35">
      <c r="A31" s="66" t="s">
        <v>185</v>
      </c>
      <c r="B31" s="65"/>
      <c r="C31" s="65"/>
      <c r="D31" s="65"/>
      <c r="E31" s="65"/>
      <c r="F31" s="65"/>
      <c r="G31" s="65"/>
      <c r="H31" s="65"/>
      <c r="I31" s="65"/>
    </row>
    <row r="32" spans="1:9" x14ac:dyDescent="0.35">
      <c r="A32" s="1" t="s">
        <v>177</v>
      </c>
      <c r="B32" s="1" t="s">
        <v>178</v>
      </c>
      <c r="C32" s="1" t="s">
        <v>179</v>
      </c>
      <c r="D32" s="1" t="s">
        <v>180</v>
      </c>
      <c r="E32" s="1" t="s">
        <v>5</v>
      </c>
      <c r="F32" s="32" t="s">
        <v>181</v>
      </c>
      <c r="G32" s="1" t="s">
        <v>182</v>
      </c>
      <c r="H32" s="1" t="s">
        <v>183</v>
      </c>
      <c r="I32" s="1" t="s">
        <v>184</v>
      </c>
    </row>
    <row r="33" spans="1:9" x14ac:dyDescent="0.35">
      <c r="A33" s="6"/>
      <c r="B33" s="7"/>
      <c r="C33" s="7"/>
      <c r="D33" s="6" t="str">
        <f>IF(AND(ISNUMBER(B33), ISNUMBER(C33)), B33*C33*$B$3, "")</f>
        <v/>
      </c>
      <c r="E33" s="6" t="str">
        <f>IF(A33="","",VLOOKUP(A33, Base_Donnees!A:F, 6, FALSE))</f>
        <v/>
      </c>
      <c r="F33" s="33" t="str">
        <f>IF(ISNUMBER(D33), D33*E33, "")</f>
        <v/>
      </c>
      <c r="G33" s="6" t="str">
        <f>IF(A33="","",IF(ISNUMBER(D33), IFERROR((D33/VLOOKUP(A33, Base_Donnees!A:F, 3, FALSE))*1000, "-"), ""))</f>
        <v/>
      </c>
      <c r="H33" s="6" t="str">
        <f>IF(A33="","",VLOOKUP(A33, Base_Donnees!A:F, 4, FALSE))</f>
        <v/>
      </c>
      <c r="I33" s="6" t="str">
        <f>IF(A33="","",VLOOKUP(A33, Base_Donnees!A:F, 5, FALSE))</f>
        <v/>
      </c>
    </row>
    <row r="35" spans="1:9" x14ac:dyDescent="0.35">
      <c r="A35" s="66" t="s">
        <v>186</v>
      </c>
      <c r="B35" s="65"/>
      <c r="C35" s="65"/>
      <c r="D35" s="65"/>
      <c r="E35" s="65"/>
      <c r="F35" s="65"/>
      <c r="G35" s="65"/>
      <c r="H35" s="65"/>
      <c r="I35" s="65"/>
    </row>
    <row r="36" spans="1:9" x14ac:dyDescent="0.35">
      <c r="A36" s="1" t="s">
        <v>177</v>
      </c>
      <c r="B36" s="1" t="s">
        <v>178</v>
      </c>
      <c r="C36" s="1" t="s">
        <v>179</v>
      </c>
      <c r="D36" s="1" t="s">
        <v>180</v>
      </c>
      <c r="E36" s="1" t="s">
        <v>5</v>
      </c>
      <c r="F36" s="32" t="s">
        <v>181</v>
      </c>
      <c r="G36" s="1" t="s">
        <v>182</v>
      </c>
      <c r="H36" s="1" t="s">
        <v>183</v>
      </c>
      <c r="I36" s="1" t="s">
        <v>184</v>
      </c>
    </row>
    <row r="37" spans="1:9" x14ac:dyDescent="0.35">
      <c r="A37" s="6"/>
      <c r="B37" s="7"/>
      <c r="C37" s="7"/>
      <c r="D37" s="6" t="str">
        <f>IF(AND(ISNUMBER(B37), ISNUMBER(C37)), B37*C37*$B$3, "")</f>
        <v/>
      </c>
      <c r="E37" s="6" t="str">
        <f>IF(A37="","",VLOOKUP(A37, Base_Donnees!A:F, 6, FALSE))</f>
        <v/>
      </c>
      <c r="F37" s="33" t="str">
        <f>IF(ISNUMBER(D37), D37*E37, "")</f>
        <v/>
      </c>
      <c r="G37" s="6" t="str">
        <f>IF(A37="","",IF(ISNUMBER(D37), IFERROR((D37/VLOOKUP(A37, Base_Donnees!A:F, 3, FALSE))*1000, "-"), ""))</f>
        <v/>
      </c>
      <c r="H37" s="6" t="str">
        <f>IF(A37="","",VLOOKUP(A37, Base_Donnees!A:F, 4, FALSE))</f>
        <v/>
      </c>
      <c r="I37" s="6" t="str">
        <f>IF(A37="","",VLOOKUP(A37, Base_Donnees!A:F, 5, FALSE))</f>
        <v/>
      </c>
    </row>
    <row r="39" spans="1:9" x14ac:dyDescent="0.35">
      <c r="A39" s="66" t="s">
        <v>187</v>
      </c>
      <c r="B39" s="65"/>
      <c r="C39" s="65"/>
      <c r="D39" s="65"/>
      <c r="E39" s="65"/>
      <c r="F39" s="65"/>
      <c r="G39" s="65"/>
      <c r="H39" s="65"/>
      <c r="I39" s="65"/>
    </row>
    <row r="40" spans="1:9" x14ac:dyDescent="0.35">
      <c r="A40" s="1" t="s">
        <v>177</v>
      </c>
      <c r="B40" s="1" t="s">
        <v>178</v>
      </c>
      <c r="C40" s="1" t="s">
        <v>179</v>
      </c>
      <c r="D40" s="1" t="s">
        <v>180</v>
      </c>
      <c r="E40" s="1" t="s">
        <v>5</v>
      </c>
      <c r="F40" s="32" t="s">
        <v>181</v>
      </c>
      <c r="G40" s="1" t="s">
        <v>182</v>
      </c>
      <c r="H40" s="1" t="s">
        <v>183</v>
      </c>
      <c r="I40" s="1" t="s">
        <v>184</v>
      </c>
    </row>
    <row r="41" spans="1:9" x14ac:dyDescent="0.35">
      <c r="A41" s="6" t="s">
        <v>65</v>
      </c>
      <c r="B41" s="7">
        <v>2</v>
      </c>
      <c r="C41" s="7">
        <v>1</v>
      </c>
      <c r="D41" s="6">
        <f>IF(AND(ISNUMBER(B41), ISNUMBER(C41)), B41*C41*$B$3, "")</f>
        <v>4</v>
      </c>
      <c r="E41" s="6">
        <f>IF(A41="","",VLOOKUP(A41, Base_Donnees!A:F, 6, FALSE))</f>
        <v>410.55</v>
      </c>
      <c r="F41" s="33">
        <f>IF(ISNUMBER(D41), D41*E41, "")</f>
        <v>1642.2</v>
      </c>
      <c r="G41" s="6">
        <f>IF(A41="","",IF(ISNUMBER(D41), IFERROR((D41/VLOOKUP(A41, Base_Donnees!A:F, 3, FALSE))*1000, "-"), ""))</f>
        <v>6.7796610169491522</v>
      </c>
      <c r="H41" s="6" t="str">
        <f>IF(A41="","",VLOOKUP(A41, Base_Donnees!A:F, 4, FALSE))</f>
        <v>4 min</v>
      </c>
      <c r="I41" s="6" t="str">
        <f>IF(A41="","",VLOOKUP(A41, Base_Donnees!A:F, 5, FALSE))</f>
        <v>Idéal pour chélater et nettoyer les goutteurs.</v>
      </c>
    </row>
    <row r="42" spans="1:9" x14ac:dyDescent="0.35">
      <c r="A42" s="6" t="s">
        <v>55</v>
      </c>
      <c r="B42" s="7">
        <v>1</v>
      </c>
      <c r="C42" s="7">
        <v>1</v>
      </c>
      <c r="D42" s="6">
        <f>IF(AND(ISNUMBER(B42), ISNUMBER(C42)), B42*C42*$B$3, "")</f>
        <v>2</v>
      </c>
      <c r="E42" s="6">
        <f>IF(A42="","",VLOOKUP(A42, Base_Donnees!A:F, 6, FALSE))</f>
        <v>378.15</v>
      </c>
      <c r="F42" s="33">
        <f>IF(ISNUMBER(D42), D42*E42, "")</f>
        <v>756.3</v>
      </c>
      <c r="G42" s="6">
        <f>IF(A42="","",IF(ISNUMBER(D42), IFERROR((D42/VLOOKUP(A42, Base_Donnees!A:F, 3, FALSE))*1000, "-"), ""))</f>
        <v>0.4</v>
      </c>
      <c r="H42" s="6" t="str">
        <f>IF(A42="","",VLOOKUP(A42, Base_Donnees!A:F, 4, FALSE))</f>
        <v>1 min</v>
      </c>
      <c r="I42" s="6" t="str">
        <f>IF(A42="","",VLOOKUP(A42, Base_Donnees!A:F, 5, FALSE))</f>
        <v>CORROSIF : Gants + lunettes obligatoires.</v>
      </c>
    </row>
    <row r="44" spans="1:9" x14ac:dyDescent="0.35">
      <c r="E44" s="8" t="s">
        <v>189</v>
      </c>
      <c r="F44" s="35">
        <f>SUM(F10,F14,F15,F16,F20,F24,F29,F33,F37,F41,F42)</f>
        <v>13208.5</v>
      </c>
    </row>
    <row r="46" spans="1:9" x14ac:dyDescent="0.35">
      <c r="A46" s="64" t="s">
        <v>190</v>
      </c>
      <c r="B46" s="65"/>
      <c r="C46" s="65"/>
      <c r="D46" s="65"/>
      <c r="E46" s="65"/>
      <c r="F46" s="65"/>
      <c r="G46" s="65"/>
      <c r="H46" s="65"/>
      <c r="I46" s="65"/>
    </row>
    <row r="47" spans="1:9" x14ac:dyDescent="0.35">
      <c r="A47" s="10" t="s">
        <v>191</v>
      </c>
      <c r="B47" s="10" t="s">
        <v>192</v>
      </c>
      <c r="C47" s="10" t="s">
        <v>193</v>
      </c>
      <c r="D47" s="10" t="s">
        <v>194</v>
      </c>
      <c r="E47" s="10" t="s">
        <v>5</v>
      </c>
      <c r="F47" s="36" t="s">
        <v>195</v>
      </c>
      <c r="G47" s="10" t="s">
        <v>196</v>
      </c>
      <c r="H47" s="10" t="s">
        <v>197</v>
      </c>
      <c r="I47" s="10"/>
    </row>
    <row r="48" spans="1:9" x14ac:dyDescent="0.35">
      <c r="A48" s="6" t="s">
        <v>91</v>
      </c>
      <c r="B48" s="7">
        <v>1</v>
      </c>
      <c r="C48" s="6">
        <f>$B$3</f>
        <v>2</v>
      </c>
      <c r="D48" s="6">
        <f>IF(ISNUMBER(B48), B48*C48, "")</f>
        <v>2</v>
      </c>
      <c r="E48" s="6">
        <f>IF(A48="","",VLOOKUP(A48, Base_Donnees!A:F, 6, FALSE))</f>
        <v>2500</v>
      </c>
      <c r="F48" s="33">
        <f>IF(ISNUMBER(D48), D48*E48, "")</f>
        <v>5000</v>
      </c>
      <c r="G48" s="6" t="str">
        <f>IF(A48="","",VLOOKUP(A48, Base_Donnees!A:F, 5, FALSE))</f>
        <v>Division cellulaire</v>
      </c>
      <c r="H48" s="6" t="str">
        <f>IF(A48="","",VLOOKUP(A48, Base_Donnees!A:F, 4, FALSE))</f>
        <v>Hormone</v>
      </c>
      <c r="I48" s="6"/>
    </row>
    <row r="49" spans="1:9" x14ac:dyDescent="0.35">
      <c r="A49" s="6" t="s">
        <v>81</v>
      </c>
      <c r="B49" s="7">
        <v>1.5</v>
      </c>
      <c r="C49" s="6">
        <f>$B$3</f>
        <v>2</v>
      </c>
      <c r="D49" s="6">
        <f>IF(ISNUMBER(B49), B49*C49, "")</f>
        <v>3</v>
      </c>
      <c r="E49" s="6">
        <f>IF(A49="","",VLOOKUP(A49, Base_Donnees!A:F, 6, FALSE))</f>
        <v>550</v>
      </c>
      <c r="F49" s="33">
        <f>IF(ISNUMBER(D49), D49*E49, "")</f>
        <v>1650</v>
      </c>
      <c r="G49" s="6" t="str">
        <f>IF(A49="","",VLOOKUP(A49, Base_Donnees!A:F, 5, FALSE))</f>
        <v>Appliquer aux stades critiques du fruit.</v>
      </c>
      <c r="H49" s="6" t="str">
        <f>IF(A49="","",VLOOKUP(A49, Base_Donnees!A:F, 4, FALSE))</f>
        <v>Fermeté fruit</v>
      </c>
      <c r="I49" s="6"/>
    </row>
    <row r="50" spans="1:9" x14ac:dyDescent="0.35">
      <c r="A50" s="6"/>
      <c r="B50" s="7"/>
      <c r="C50" s="6">
        <f>$B$3</f>
        <v>2</v>
      </c>
      <c r="D50" s="6" t="str">
        <f>IF(ISNUMBER(B50), B50*C50, "")</f>
        <v/>
      </c>
      <c r="E50" s="6" t="str">
        <f>IF(A50="","",VLOOKUP(A50, Base_Donnees!A:F, 6, FALSE))</f>
        <v/>
      </c>
      <c r="F50" s="33" t="str">
        <f>IF(ISNUMBER(D50), D50*E50, "")</f>
        <v/>
      </c>
      <c r="G50" s="6" t="str">
        <f>IF(A50="","",VLOOKUP(A50, Base_Donnees!A:F, 5, FALSE))</f>
        <v/>
      </c>
      <c r="H50" s="6" t="str">
        <f>IF(A50="","",VLOOKUP(A50, Base_Donnees!A:F, 4, FALSE))</f>
        <v/>
      </c>
      <c r="I50" s="6"/>
    </row>
    <row r="51" spans="1:9" x14ac:dyDescent="0.35">
      <c r="E51" s="8" t="s">
        <v>198</v>
      </c>
      <c r="F51" s="37">
        <f>SUM(F48,F49,F50)</f>
        <v>6650</v>
      </c>
    </row>
    <row r="53" spans="1:9" x14ac:dyDescent="0.35">
      <c r="A53" s="64" t="s">
        <v>199</v>
      </c>
      <c r="B53" s="65"/>
      <c r="C53" s="65"/>
      <c r="D53" s="65"/>
      <c r="E53" s="65"/>
      <c r="F53" s="65"/>
      <c r="G53" s="65"/>
      <c r="H53" s="65"/>
      <c r="I53" s="65"/>
    </row>
    <row r="54" spans="1:9" x14ac:dyDescent="0.35">
      <c r="A54" s="12" t="s">
        <v>200</v>
      </c>
      <c r="B54" s="12" t="s">
        <v>201</v>
      </c>
      <c r="C54" s="12" t="s">
        <v>193</v>
      </c>
      <c r="D54" s="12" t="s">
        <v>194</v>
      </c>
      <c r="E54" s="12" t="s">
        <v>5</v>
      </c>
      <c r="F54" s="38" t="s">
        <v>195</v>
      </c>
      <c r="G54" s="12" t="s">
        <v>202</v>
      </c>
      <c r="H54" s="12" t="s">
        <v>203</v>
      </c>
      <c r="I54" s="12" t="s">
        <v>204</v>
      </c>
    </row>
    <row r="55" spans="1:9" x14ac:dyDescent="0.35">
      <c r="A55" s="6" t="s">
        <v>109</v>
      </c>
      <c r="B55" s="7">
        <v>0.5</v>
      </c>
      <c r="C55" s="6">
        <f>$B$3</f>
        <v>2</v>
      </c>
      <c r="D55" s="6">
        <f>IF(ISNUMBER(B55), B55*C55, "")</f>
        <v>1</v>
      </c>
      <c r="E55" s="6">
        <f>IF(A55="","",VLOOKUP(A55, Base_Donnees!A:F, 6, FALSE))</f>
        <v>24000</v>
      </c>
      <c r="F55" s="33">
        <f>IF(ISNUMBER(D55), D55*E55, "")</f>
        <v>24000</v>
      </c>
      <c r="G55" s="6" t="str">
        <f>IF(A55="","",VLOOKUP(A55, Base_Donnees!A:F, 3, FALSE))</f>
        <v>7 Jours</v>
      </c>
      <c r="H55" s="6" t="str">
        <f>IF(A55="","",VLOOKUP(A55, Base_Donnees!A:F, 4, FALSE))</f>
        <v>Boscalid + Pyraclostrobine</v>
      </c>
      <c r="I55" s="6" t="str">
        <f>IF(A55="","",VLOOKUP(A55, Base_Donnees!A:F, 5, FALSE))</f>
        <v>Spécifique arbres à noyau (Coryneum du nectarinier, Oïdium)</v>
      </c>
    </row>
    <row r="56" spans="1:9" x14ac:dyDescent="0.35">
      <c r="A56" s="6"/>
      <c r="B56" s="7"/>
      <c r="C56" s="6">
        <f>$B$3</f>
        <v>2</v>
      </c>
      <c r="D56" s="6" t="str">
        <f>IF(ISNUMBER(B56), B56*C56, "")</f>
        <v/>
      </c>
      <c r="E56" s="6" t="str">
        <f>IF(A56="","",VLOOKUP(A56, Base_Donnees!A:F, 6, FALSE))</f>
        <v/>
      </c>
      <c r="F56" s="33" t="str">
        <f>IF(ISNUMBER(D56), D56*E56, "")</f>
        <v/>
      </c>
      <c r="G56" s="6" t="str">
        <f>IF(A56="","",VLOOKUP(A56, Base_Donnees!A:F, 3, FALSE))</f>
        <v/>
      </c>
      <c r="H56" s="6" t="str">
        <f>IF(A56="","",VLOOKUP(A56, Base_Donnees!A:F, 4, FALSE))</f>
        <v/>
      </c>
      <c r="I56" s="6" t="str">
        <f>IF(A56="","",VLOOKUP(A56, Base_Donnees!A:F, 5, FALSE))</f>
        <v/>
      </c>
    </row>
    <row r="57" spans="1:9" x14ac:dyDescent="0.35">
      <c r="A57" s="6"/>
      <c r="B57" s="7"/>
      <c r="C57" s="6">
        <f>$B$3</f>
        <v>2</v>
      </c>
      <c r="D57" s="6" t="str">
        <f>IF(ISNUMBER(B57), B57*C57, "")</f>
        <v/>
      </c>
      <c r="E57" s="6" t="str">
        <f>IF(A57="","",VLOOKUP(A57, Base_Donnees!A:F, 6, FALSE))</f>
        <v/>
      </c>
      <c r="F57" s="33" t="str">
        <f>IF(ISNUMBER(D57), D57*E57, "")</f>
        <v/>
      </c>
      <c r="G57" s="6" t="str">
        <f>IF(A57="","",VLOOKUP(A57, Base_Donnees!A:F, 3, FALSE))</f>
        <v/>
      </c>
      <c r="H57" s="6" t="str">
        <f>IF(A57="","",VLOOKUP(A57, Base_Donnees!A:F, 4, FALSE))</f>
        <v/>
      </c>
      <c r="I57" s="6" t="str">
        <f>IF(A57="","",VLOOKUP(A57, Base_Donnees!A:F, 5, FALSE))</f>
        <v/>
      </c>
    </row>
    <row r="58" spans="1:9" x14ac:dyDescent="0.35">
      <c r="E58" s="8" t="s">
        <v>205</v>
      </c>
      <c r="F58" s="37">
        <f>SUM(F55,F56,F57)</f>
        <v>24000</v>
      </c>
    </row>
  </sheetData>
  <mergeCells count="13">
    <mergeCell ref="A1:I1"/>
    <mergeCell ref="A18:I18"/>
    <mergeCell ref="A27:I27"/>
    <mergeCell ref="A8:I8"/>
    <mergeCell ref="A31:I31"/>
    <mergeCell ref="A22:I22"/>
    <mergeCell ref="A53:I53"/>
    <mergeCell ref="A12:I12"/>
    <mergeCell ref="A26:I26"/>
    <mergeCell ref="A35:I35"/>
    <mergeCell ref="A7:I7"/>
    <mergeCell ref="A46:I46"/>
    <mergeCell ref="A39:I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0"/>
  <sheetViews>
    <sheetView topLeftCell="A46" workbookViewId="0">
      <selection activeCell="A58" sqref="A58"/>
    </sheetView>
  </sheetViews>
  <sheetFormatPr baseColWidth="10" defaultColWidth="8.7265625" defaultRowHeight="14.5" x14ac:dyDescent="0.35"/>
  <cols>
    <col min="1" max="1" width="42" customWidth="1"/>
    <col min="2" max="3" width="15" customWidth="1"/>
    <col min="4" max="5" width="20" customWidth="1"/>
    <col min="6" max="6" width="20" style="21" customWidth="1"/>
    <col min="7" max="7" width="15" customWidth="1"/>
    <col min="8" max="8" width="20" customWidth="1"/>
    <col min="9" max="9" width="45" customWidth="1"/>
  </cols>
  <sheetData>
    <row r="1" spans="1:9" ht="19" x14ac:dyDescent="0.35">
      <c r="A1" s="68" t="s">
        <v>169</v>
      </c>
      <c r="B1" s="65"/>
      <c r="C1" s="65"/>
      <c r="D1" s="65"/>
      <c r="E1" s="65"/>
      <c r="F1" s="65"/>
      <c r="G1" s="65"/>
      <c r="H1" s="65"/>
      <c r="I1" s="65"/>
    </row>
    <row r="3" spans="1:9" x14ac:dyDescent="0.35">
      <c r="A3" t="s">
        <v>170</v>
      </c>
      <c r="B3" s="4">
        <v>4</v>
      </c>
    </row>
    <row r="4" spans="1:9" x14ac:dyDescent="0.35">
      <c r="A4" t="s">
        <v>171</v>
      </c>
      <c r="B4" s="4" t="s">
        <v>211</v>
      </c>
    </row>
    <row r="5" spans="1:9" x14ac:dyDescent="0.35">
      <c r="A5" t="s">
        <v>173</v>
      </c>
      <c r="B5" s="5" t="s">
        <v>174</v>
      </c>
    </row>
    <row r="7" spans="1:9" ht="16.5" x14ac:dyDescent="0.35">
      <c r="A7" s="67" t="s">
        <v>175</v>
      </c>
      <c r="B7" s="65"/>
      <c r="C7" s="65"/>
      <c r="D7" s="65"/>
      <c r="E7" s="65"/>
      <c r="F7" s="65"/>
      <c r="G7" s="65"/>
      <c r="H7" s="65"/>
      <c r="I7" s="65"/>
    </row>
    <row r="8" spans="1:9" x14ac:dyDescent="0.35">
      <c r="A8" s="66" t="s">
        <v>176</v>
      </c>
      <c r="B8" s="65"/>
      <c r="C8" s="65"/>
      <c r="D8" s="65"/>
      <c r="E8" s="65"/>
      <c r="F8" s="65"/>
      <c r="G8" s="65"/>
      <c r="H8" s="65"/>
      <c r="I8" s="65"/>
    </row>
    <row r="9" spans="1:9" x14ac:dyDescent="0.35">
      <c r="A9" s="1" t="s">
        <v>177</v>
      </c>
      <c r="B9" s="1" t="s">
        <v>178</v>
      </c>
      <c r="C9" s="1" t="s">
        <v>179</v>
      </c>
      <c r="D9" s="1" t="s">
        <v>180</v>
      </c>
      <c r="E9" s="1" t="s">
        <v>5</v>
      </c>
      <c r="F9" s="32" t="s">
        <v>181</v>
      </c>
      <c r="G9" s="1" t="s">
        <v>182</v>
      </c>
      <c r="H9" s="1" t="s">
        <v>183</v>
      </c>
      <c r="I9" s="1" t="s">
        <v>184</v>
      </c>
    </row>
    <row r="10" spans="1:9" x14ac:dyDescent="0.35">
      <c r="A10" s="6"/>
      <c r="B10" s="7"/>
      <c r="C10" s="7"/>
      <c r="D10" s="6" t="str">
        <f>IF(AND(ISNUMBER(B10), ISNUMBER(C10)), B10*C10*$B$3, "")</f>
        <v/>
      </c>
      <c r="E10" s="6" t="str">
        <f>IF(A10="","",VLOOKUP(A10, Base_Donnees!A:F, 6, FALSE))</f>
        <v/>
      </c>
      <c r="F10" s="33" t="str">
        <f>IF(ISNUMBER(D10), D10*E10, "")</f>
        <v/>
      </c>
      <c r="G10" s="6" t="str">
        <f>IF(A10="","",IF(ISNUMBER(D10), IFERROR((D10/VLOOKUP(A10, Base_Donnees!A:F, 3, FALSE))*1000, "-"), ""))</f>
        <v/>
      </c>
      <c r="H10" s="6" t="str">
        <f>IF(A10="","",VLOOKUP(A10, Base_Donnees!A:F, 4, FALSE))</f>
        <v/>
      </c>
      <c r="I10" s="6" t="str">
        <f>IF(A10="","",VLOOKUP(A10, Base_Donnees!A:F, 5, FALSE))</f>
        <v/>
      </c>
    </row>
    <row r="12" spans="1:9" x14ac:dyDescent="0.35">
      <c r="A12" s="66" t="s">
        <v>185</v>
      </c>
      <c r="B12" s="65"/>
      <c r="C12" s="65"/>
      <c r="D12" s="65"/>
      <c r="E12" s="65"/>
      <c r="F12" s="65"/>
      <c r="G12" s="65"/>
      <c r="H12" s="65"/>
      <c r="I12" s="65"/>
    </row>
    <row r="13" spans="1:9" x14ac:dyDescent="0.35">
      <c r="A13" s="1" t="s">
        <v>177</v>
      </c>
      <c r="B13" s="1" t="s">
        <v>178</v>
      </c>
      <c r="C13" s="1" t="s">
        <v>179</v>
      </c>
      <c r="D13" s="1" t="s">
        <v>180</v>
      </c>
      <c r="E13" s="1" t="s">
        <v>5</v>
      </c>
      <c r="F13" s="32" t="s">
        <v>181</v>
      </c>
      <c r="G13" s="1" t="s">
        <v>182</v>
      </c>
      <c r="H13" s="1" t="s">
        <v>183</v>
      </c>
      <c r="I13" s="1" t="s">
        <v>184</v>
      </c>
    </row>
    <row r="14" spans="1:9" x14ac:dyDescent="0.35">
      <c r="A14" s="6" t="s">
        <v>19</v>
      </c>
      <c r="B14" s="7">
        <v>5</v>
      </c>
      <c r="C14" s="7">
        <v>2</v>
      </c>
      <c r="D14" s="6">
        <f>IF(AND(ISNUMBER(B14), ISNUMBER(C14)), B14*C14*$B$3, "")</f>
        <v>40</v>
      </c>
      <c r="E14" s="6">
        <f>IF(A14="","",VLOOKUP(A14, Base_Donnees!A:F, 6, FALSE))</f>
        <v>45</v>
      </c>
      <c r="F14" s="33">
        <f>IF(ISNUMBER(D14), D14*E14, "")</f>
        <v>1800</v>
      </c>
      <c r="G14" s="6">
        <f>IF(A14="","",IF(ISNUMBER(D14), IFERROR((D14/VLOOKUP(A14, Base_Donnees!A:F, 3, FALSE))*1000, "-"), ""))</f>
        <v>380.95238095238091</v>
      </c>
      <c r="H14" s="6" t="str">
        <f>IF(A14="","",VLOOKUP(A14, Base_Donnees!A:F, 4, FALSE))</f>
        <v>5 min</v>
      </c>
      <c r="I14" s="6" t="str">
        <f>IF(A14="","",VLOOKUP(A14, Base_Donnees!A:F, 5, FALSE))</f>
        <v>Très soluble. Refroidit l'eau (endothermique).</v>
      </c>
    </row>
    <row r="15" spans="1:9" x14ac:dyDescent="0.35">
      <c r="A15" s="6" t="s">
        <v>24</v>
      </c>
      <c r="B15" s="7">
        <v>6</v>
      </c>
      <c r="C15" s="7">
        <v>2</v>
      </c>
      <c r="D15" s="6">
        <f>IF(AND(ISNUMBER(B15), ISNUMBER(C15)), B15*C15*$B$3, "")</f>
        <v>48</v>
      </c>
      <c r="E15" s="6">
        <f>IF(A15="","",VLOOKUP(A15, Base_Donnees!A:F, 6, FALSE))</f>
        <v>26</v>
      </c>
      <c r="F15" s="33">
        <f>IF(ISNUMBER(D15), D15*E15, "")</f>
        <v>1248</v>
      </c>
      <c r="G15" s="6">
        <f>IF(A15="","",IF(ISNUMBER(D15), IFERROR((D15/VLOOKUP(A15, Base_Donnees!A:F, 3, FALSE))*1000, "-"), ""))</f>
        <v>1600</v>
      </c>
      <c r="H15" s="6" t="str">
        <f>IF(A15="","",VLOOKUP(A15, Base_Donnees!A:F, 4, FALSE))</f>
        <v>15 min</v>
      </c>
      <c r="I15" s="6" t="str">
        <f>IF(A15="","",VLOOKUP(A15, Base_Donnees!A:F, 5, FALSE))</f>
        <v>Sensible à l'eau froide du puits.</v>
      </c>
    </row>
    <row r="16" spans="1:9" x14ac:dyDescent="0.35">
      <c r="A16" s="6" t="s">
        <v>32</v>
      </c>
      <c r="B16" s="7">
        <v>3</v>
      </c>
      <c r="C16" s="7">
        <v>2</v>
      </c>
      <c r="D16" s="6">
        <f>IF(AND(ISNUMBER(B16), ISNUMBER(C16)), B16*C16*$B$3, "")</f>
        <v>24</v>
      </c>
      <c r="E16" s="6">
        <f>IF(A16="","",VLOOKUP(A16, Base_Donnees!A:F, 6, FALSE))</f>
        <v>260</v>
      </c>
      <c r="F16" s="33">
        <f>IF(ISNUMBER(D16), D16*E16, "")</f>
        <v>6240</v>
      </c>
      <c r="G16" s="6">
        <f>IF(A16="","",IF(ISNUMBER(D16), IFERROR((D16/VLOOKUP(A16, Base_Donnees!A:F, 3, FALSE))*1000, "-"), ""))</f>
        <v>342.85714285714283</v>
      </c>
      <c r="H16" s="6" t="str">
        <f>IF(A16="","",VLOOKUP(A16, Base_Donnees!A:F, 4, FALSE))</f>
        <v>8 min</v>
      </c>
      <c r="I16" s="6" t="str">
        <f>IF(A16="","",VLOOKUP(A16, Base_Donnees!A:F, 5, FALSE))</f>
        <v>Excellente source de magnésium soluble.</v>
      </c>
    </row>
    <row r="18" spans="1:9" x14ac:dyDescent="0.35">
      <c r="A18" s="66" t="s">
        <v>186</v>
      </c>
      <c r="B18" s="65"/>
      <c r="C18" s="65"/>
      <c r="D18" s="65"/>
      <c r="E18" s="65"/>
      <c r="F18" s="65"/>
      <c r="G18" s="65"/>
      <c r="H18" s="65"/>
      <c r="I18" s="65"/>
    </row>
    <row r="19" spans="1:9" x14ac:dyDescent="0.35">
      <c r="A19" s="1" t="s">
        <v>177</v>
      </c>
      <c r="B19" s="1" t="s">
        <v>178</v>
      </c>
      <c r="C19" s="1" t="s">
        <v>179</v>
      </c>
      <c r="D19" s="1" t="s">
        <v>180</v>
      </c>
      <c r="E19" s="1" t="s">
        <v>5</v>
      </c>
      <c r="F19" s="32" t="s">
        <v>181</v>
      </c>
      <c r="G19" s="1" t="s">
        <v>182</v>
      </c>
      <c r="H19" s="1" t="s">
        <v>183</v>
      </c>
      <c r="I19" s="1" t="s">
        <v>184</v>
      </c>
    </row>
    <row r="20" spans="1:9" x14ac:dyDescent="0.35">
      <c r="A20" s="6"/>
      <c r="B20" s="7"/>
      <c r="C20" s="7"/>
      <c r="D20" s="6" t="str">
        <f>IF(AND(ISNUMBER(B20), ISNUMBER(C20)), B20*C20*$B$3, "")</f>
        <v/>
      </c>
      <c r="E20" s="6" t="str">
        <f>IF(A20="","",VLOOKUP(A20, Base_Donnees!A:F, 6, FALSE))</f>
        <v/>
      </c>
      <c r="F20" s="33" t="str">
        <f>IF(ISNUMBER(D20), D20*E20, "")</f>
        <v/>
      </c>
      <c r="G20" s="6" t="str">
        <f>IF(A20="","",IF(ISNUMBER(D20), IFERROR((D20/VLOOKUP(A20, Base_Donnees!A:F, 3, FALSE))*1000, "-"), ""))</f>
        <v/>
      </c>
      <c r="H20" s="6" t="str">
        <f>IF(A20="","",VLOOKUP(A20, Base_Donnees!A:F, 4, FALSE))</f>
        <v/>
      </c>
      <c r="I20" s="6" t="str">
        <f>IF(A20="","",VLOOKUP(A20, Base_Donnees!A:F, 5, FALSE))</f>
        <v/>
      </c>
    </row>
    <row r="22" spans="1:9" x14ac:dyDescent="0.35">
      <c r="A22" s="66" t="s">
        <v>187</v>
      </c>
      <c r="B22" s="65"/>
      <c r="C22" s="65"/>
      <c r="D22" s="65"/>
      <c r="E22" s="65"/>
      <c r="F22" s="65"/>
      <c r="G22" s="65"/>
      <c r="H22" s="65"/>
      <c r="I22" s="65"/>
    </row>
    <row r="23" spans="1:9" x14ac:dyDescent="0.35">
      <c r="A23" s="1" t="s">
        <v>177</v>
      </c>
      <c r="B23" s="1" t="s">
        <v>178</v>
      </c>
      <c r="C23" s="1" t="s">
        <v>179</v>
      </c>
      <c r="D23" s="1" t="s">
        <v>180</v>
      </c>
      <c r="E23" s="1" t="s">
        <v>5</v>
      </c>
      <c r="F23" s="32" t="s">
        <v>181</v>
      </c>
      <c r="G23" s="1" t="s">
        <v>182</v>
      </c>
      <c r="H23" s="1" t="s">
        <v>183</v>
      </c>
      <c r="I23" s="1" t="s">
        <v>184</v>
      </c>
    </row>
    <row r="24" spans="1:9" x14ac:dyDescent="0.35">
      <c r="A24" s="6" t="s">
        <v>63</v>
      </c>
      <c r="B24" s="7">
        <v>1</v>
      </c>
      <c r="C24" s="7">
        <v>2</v>
      </c>
      <c r="D24" s="6">
        <f>IF(AND(ISNUMBER(B24), ISNUMBER(C24)), B24*C24*$B$3, "")</f>
        <v>8</v>
      </c>
      <c r="E24" s="6">
        <f>IF(A24="","",VLOOKUP(A24, Base_Donnees!A:F, 6, FALSE))</f>
        <v>500</v>
      </c>
      <c r="F24" s="33">
        <f>IF(ISNUMBER(D24), D24*E24, "")</f>
        <v>4000</v>
      </c>
      <c r="G24" s="6">
        <f>IF(A24="","",IF(ISNUMBER(D24), IFERROR((D24/VLOOKUP(A24, Base_Donnees!A:F, 3, FALSE))*1000, "-"), ""))</f>
        <v>1.6</v>
      </c>
      <c r="H24" s="6" t="str">
        <f>IF(A24="","",VLOOKUP(A24, Base_Donnees!A:F, 4, FALSE))</f>
        <v>1 min</v>
      </c>
      <c r="I24" s="6" t="str">
        <f>IF(A24="","",VLOOKUP(A24, Base_Donnees!A:F, 5, FALSE))</f>
        <v>Sécurité : Toujours verser l'acide dans l'eau.</v>
      </c>
    </row>
    <row r="25" spans="1:9" x14ac:dyDescent="0.35">
      <c r="A25" s="6" t="s">
        <v>65</v>
      </c>
      <c r="B25" s="7">
        <v>1.5</v>
      </c>
      <c r="C25" s="7">
        <v>2</v>
      </c>
      <c r="D25" s="6">
        <f>IF(AND(ISNUMBER(B25), ISNUMBER(C25)), B25*C25*$B$3, "")</f>
        <v>12</v>
      </c>
      <c r="E25" s="6">
        <f>IF(A25="","",VLOOKUP(A25, Base_Donnees!A:F, 6, FALSE))</f>
        <v>410.55</v>
      </c>
      <c r="F25" s="33">
        <f>IF(ISNUMBER(D25), D25*E25, "")</f>
        <v>4926.6000000000004</v>
      </c>
      <c r="G25" s="6">
        <f>IF(A25="","",IF(ISNUMBER(D25), IFERROR((D25/VLOOKUP(A25, Base_Donnees!A:F, 3, FALSE))*1000, "-"), ""))</f>
        <v>20.338983050847457</v>
      </c>
      <c r="H25" s="6" t="str">
        <f>IF(A25="","",VLOOKUP(A25, Base_Donnees!A:F, 4, FALSE))</f>
        <v>4 min</v>
      </c>
      <c r="I25" s="6" t="str">
        <f>IF(A25="","",VLOOKUP(A25, Base_Donnees!A:F, 5, FALSE))</f>
        <v>Idéal pour chélater et nettoyer les goutteurs.</v>
      </c>
    </row>
    <row r="27" spans="1:9" ht="16.5" x14ac:dyDescent="0.35">
      <c r="A27" s="69" t="s">
        <v>188</v>
      </c>
      <c r="B27" s="65"/>
      <c r="C27" s="65"/>
      <c r="D27" s="65"/>
      <c r="E27" s="65"/>
      <c r="F27" s="65"/>
      <c r="G27" s="65"/>
      <c r="H27" s="65"/>
      <c r="I27" s="65"/>
    </row>
    <row r="28" spans="1:9" x14ac:dyDescent="0.35">
      <c r="A28" s="66" t="s">
        <v>176</v>
      </c>
      <c r="B28" s="65"/>
      <c r="C28" s="65"/>
      <c r="D28" s="65"/>
      <c r="E28" s="65"/>
      <c r="F28" s="65"/>
      <c r="G28" s="65"/>
      <c r="H28" s="65"/>
      <c r="I28" s="65"/>
    </row>
    <row r="29" spans="1:9" x14ac:dyDescent="0.35">
      <c r="A29" s="1" t="s">
        <v>177</v>
      </c>
      <c r="B29" s="1" t="s">
        <v>178</v>
      </c>
      <c r="C29" s="1" t="s">
        <v>179</v>
      </c>
      <c r="D29" s="1" t="s">
        <v>180</v>
      </c>
      <c r="E29" s="1" t="s">
        <v>5</v>
      </c>
      <c r="F29" s="32" t="s">
        <v>181</v>
      </c>
      <c r="G29" s="1" t="s">
        <v>182</v>
      </c>
      <c r="H29" s="1" t="s">
        <v>183</v>
      </c>
      <c r="I29" s="1" t="s">
        <v>184</v>
      </c>
    </row>
    <row r="30" spans="1:9" x14ac:dyDescent="0.35">
      <c r="A30" s="6" t="s">
        <v>12</v>
      </c>
      <c r="B30" s="7">
        <v>5</v>
      </c>
      <c r="C30" s="7">
        <v>1</v>
      </c>
      <c r="D30" s="6">
        <f>IF(AND(ISNUMBER(B30), ISNUMBER(C30)), B30*C30*$B$3, "")</f>
        <v>20</v>
      </c>
      <c r="E30" s="6">
        <f>IF(A30="","",VLOOKUP(A30, Base_Donnees!A:F, 6, FALSE))</f>
        <v>160</v>
      </c>
      <c r="F30" s="33">
        <f>IF(ISNUMBER(D30), D30*E30, "")</f>
        <v>3200</v>
      </c>
      <c r="G30" s="6">
        <f>IF(A30="","",IF(ISNUMBER(D30), IFERROR((D30/VLOOKUP(A30, Base_Donnees!A:F, 3, FALSE))*1000, "-"), ""))</f>
        <v>166.66666666666666</v>
      </c>
      <c r="H30" s="6" t="str">
        <f>IF(A30="","",VLOOKUP(A30, Base_Donnees!A:F, 4, FALSE))</f>
        <v>6 min</v>
      </c>
      <c r="I30" s="6" t="str">
        <f>IF(A30="","",VLOOKUP(A30, Base_Donnees!A:F, 5, FALSE))</f>
        <v>CRITIQUE : Isoler totalement des Sulfates/Phosphates.</v>
      </c>
    </row>
    <row r="32" spans="1:9" x14ac:dyDescent="0.35">
      <c r="A32" s="66" t="s">
        <v>185</v>
      </c>
      <c r="B32" s="65"/>
      <c r="C32" s="65"/>
      <c r="D32" s="65"/>
      <c r="E32" s="65"/>
      <c r="F32" s="65"/>
      <c r="G32" s="65"/>
      <c r="H32" s="65"/>
      <c r="I32" s="65"/>
    </row>
    <row r="33" spans="1:9" x14ac:dyDescent="0.35">
      <c r="A33" s="1" t="s">
        <v>177</v>
      </c>
      <c r="B33" s="1" t="s">
        <v>178</v>
      </c>
      <c r="C33" s="1" t="s">
        <v>179</v>
      </c>
      <c r="D33" s="1" t="s">
        <v>180</v>
      </c>
      <c r="E33" s="1" t="s">
        <v>5</v>
      </c>
      <c r="F33" s="32" t="s">
        <v>181</v>
      </c>
      <c r="G33" s="1" t="s">
        <v>182</v>
      </c>
      <c r="H33" s="1" t="s">
        <v>183</v>
      </c>
      <c r="I33" s="1" t="s">
        <v>184</v>
      </c>
    </row>
    <row r="34" spans="1:9" x14ac:dyDescent="0.35">
      <c r="A34" s="6"/>
      <c r="B34" s="7"/>
      <c r="C34" s="7"/>
      <c r="D34" s="6" t="str">
        <f>IF(AND(ISNUMBER(B34), ISNUMBER(C34)), B34*C34*$B$3, "")</f>
        <v/>
      </c>
      <c r="E34" s="6" t="str">
        <f>IF(A34="","",VLOOKUP(A34, Base_Donnees!A:F, 6, FALSE))</f>
        <v/>
      </c>
      <c r="F34" s="33" t="str">
        <f>IF(ISNUMBER(D34), D34*E34, "")</f>
        <v/>
      </c>
      <c r="G34" s="6" t="str">
        <f>IF(A34="","",IF(ISNUMBER(D34), IFERROR((D34/VLOOKUP(A34, Base_Donnees!A:F, 3, FALSE))*1000, "-"), ""))</f>
        <v/>
      </c>
      <c r="H34" s="6" t="str">
        <f>IF(A34="","",VLOOKUP(A34, Base_Donnees!A:F, 4, FALSE))</f>
        <v/>
      </c>
      <c r="I34" s="6" t="str">
        <f>IF(A34="","",VLOOKUP(A34, Base_Donnees!A:F, 5, FALSE))</f>
        <v/>
      </c>
    </row>
    <row r="36" spans="1:9" x14ac:dyDescent="0.35">
      <c r="A36" s="66" t="s">
        <v>186</v>
      </c>
      <c r="B36" s="65"/>
      <c r="C36" s="65"/>
      <c r="D36" s="65"/>
      <c r="E36" s="65"/>
      <c r="F36" s="65"/>
      <c r="G36" s="65"/>
      <c r="H36" s="65"/>
      <c r="I36" s="65"/>
    </row>
    <row r="37" spans="1:9" x14ac:dyDescent="0.35">
      <c r="A37" s="1" t="s">
        <v>177</v>
      </c>
      <c r="B37" s="1" t="s">
        <v>178</v>
      </c>
      <c r="C37" s="1" t="s">
        <v>179</v>
      </c>
      <c r="D37" s="1" t="s">
        <v>180</v>
      </c>
      <c r="E37" s="1" t="s">
        <v>5</v>
      </c>
      <c r="F37" s="32" t="s">
        <v>181</v>
      </c>
      <c r="G37" s="1" t="s">
        <v>182</v>
      </c>
      <c r="H37" s="1" t="s">
        <v>183</v>
      </c>
      <c r="I37" s="1" t="s">
        <v>184</v>
      </c>
    </row>
    <row r="38" spans="1:9" x14ac:dyDescent="0.35">
      <c r="A38" s="6" t="s">
        <v>42</v>
      </c>
      <c r="B38" s="7">
        <v>5</v>
      </c>
      <c r="C38" s="7">
        <v>1</v>
      </c>
      <c r="D38" s="6">
        <f>IF(AND(ISNUMBER(B38), ISNUMBER(C38)), B38*C38*$B$3, "")</f>
        <v>20</v>
      </c>
      <c r="E38" s="6">
        <f>IF(A38="","",VLOOKUP(A38, Base_Donnees!A:F, 6, FALSE))</f>
        <v>420</v>
      </c>
      <c r="F38" s="33">
        <f>IF(ISNUMBER(D38), D38*E38, "")</f>
        <v>8400</v>
      </c>
      <c r="G38" s="6">
        <f>IF(A38="","",IF(ISNUMBER(D38), IFERROR((D38/VLOOKUP(A38, Base_Donnees!A:F, 3, FALSE))*1000, "-"), ""))</f>
        <v>400</v>
      </c>
      <c r="H38" s="6" t="str">
        <f>IF(A38="","",VLOOKUP(A38, Base_Donnees!A:F, 4, FALSE))</f>
        <v>15 min</v>
      </c>
      <c r="I38" s="6" t="str">
        <f>IF(A38="","",VLOOKUP(A38, Base_Donnees!A:F, 5, FALSE))</f>
        <v>Améliore la structure du sol et l'assimilation.</v>
      </c>
    </row>
    <row r="39" spans="1:9" x14ac:dyDescent="0.35">
      <c r="A39" s="6" t="s">
        <v>46</v>
      </c>
      <c r="B39" s="7">
        <v>0.5</v>
      </c>
      <c r="C39" s="7">
        <v>1</v>
      </c>
      <c r="D39" s="6">
        <f>IF(AND(ISNUMBER(B39), ISNUMBER(C39)), B39*C39*$B$3, "")</f>
        <v>2</v>
      </c>
      <c r="E39" s="6">
        <f>IF(A39="","",VLOOKUP(A39, Base_Donnees!A:F, 6, FALSE))</f>
        <v>3200</v>
      </c>
      <c r="F39" s="33">
        <f>IF(ISNUMBER(D39), D39*E39, "")</f>
        <v>6400</v>
      </c>
      <c r="G39" s="6">
        <f>IF(A39="","",IF(ISNUMBER(D39), IFERROR((D39/VLOOKUP(A39, Base_Donnees!A:F, 3, FALSE))*1000, "-"), ""))</f>
        <v>22.222222222222221</v>
      </c>
      <c r="H39" s="6" t="str">
        <f>IF(A39="","",VLOOKUP(A39, Base_Donnees!A:F, 4, FALSE))</f>
        <v>8 min</v>
      </c>
      <c r="I39" s="6" t="str">
        <f>IF(A39="","",VLOOKUP(A39, Base_Donnees!A:F, 5, FALSE))</f>
        <v>Indispensable contre la chlorose en sol calcaire.</v>
      </c>
    </row>
    <row r="41" spans="1:9" x14ac:dyDescent="0.35">
      <c r="A41" s="66" t="s">
        <v>187</v>
      </c>
      <c r="B41" s="65"/>
      <c r="C41" s="65"/>
      <c r="D41" s="65"/>
      <c r="E41" s="65"/>
      <c r="F41" s="65"/>
      <c r="G41" s="65"/>
      <c r="H41" s="65"/>
      <c r="I41" s="65"/>
    </row>
    <row r="42" spans="1:9" x14ac:dyDescent="0.35">
      <c r="A42" s="1" t="s">
        <v>177</v>
      </c>
      <c r="B42" s="1" t="s">
        <v>178</v>
      </c>
      <c r="C42" s="1" t="s">
        <v>179</v>
      </c>
      <c r="D42" s="1" t="s">
        <v>180</v>
      </c>
      <c r="E42" s="1" t="s">
        <v>5</v>
      </c>
      <c r="F42" s="32" t="s">
        <v>181</v>
      </c>
      <c r="G42" s="1" t="s">
        <v>182</v>
      </c>
      <c r="H42" s="1" t="s">
        <v>183</v>
      </c>
      <c r="I42" s="1" t="s">
        <v>184</v>
      </c>
    </row>
    <row r="43" spans="1:9" x14ac:dyDescent="0.35">
      <c r="A43" s="6" t="s">
        <v>69</v>
      </c>
      <c r="B43" s="7">
        <v>1</v>
      </c>
      <c r="C43" s="7">
        <v>1</v>
      </c>
      <c r="D43" s="6">
        <f>IF(AND(ISNUMBER(B43), ISNUMBER(C43)), B43*C43*$B$3, "")</f>
        <v>4</v>
      </c>
      <c r="E43" s="6">
        <f>IF(A43="","",VLOOKUP(A43, Base_Donnees!A:F, 6, FALSE))</f>
        <v>3000</v>
      </c>
      <c r="F43" s="33">
        <f>IF(ISNUMBER(D43), D43*E43, "")</f>
        <v>12000</v>
      </c>
      <c r="G43" s="6">
        <f>IF(A43="","",IF(ISNUMBER(D43), IFERROR((D43/VLOOKUP(A43, Base_Donnees!A:F, 3, FALSE))*1000, "-"), ""))</f>
        <v>12.121212121212121</v>
      </c>
      <c r="H43" s="6" t="str">
        <f>IF(A43="","",VLOOKUP(A43, Base_Donnees!A:F, 4, FALSE))</f>
        <v>5 min</v>
      </c>
      <c r="I43" s="6" t="str">
        <f>IF(A43="","",VLOOKUP(A43, Base_Donnees!A:F, 5, FALSE))</f>
        <v>Soutient la plante contre le stress thermique saharien.</v>
      </c>
    </row>
    <row r="44" spans="1:9" x14ac:dyDescent="0.35">
      <c r="A44" s="6" t="s">
        <v>55</v>
      </c>
      <c r="B44" s="7">
        <v>2</v>
      </c>
      <c r="C44" s="7">
        <v>1</v>
      </c>
      <c r="D44" s="6">
        <f>IF(AND(ISNUMBER(B44), ISNUMBER(C44)), B44*C44*$B$3, "")</f>
        <v>8</v>
      </c>
      <c r="E44" s="6">
        <f>IF(A44="","",VLOOKUP(A44, Base_Donnees!A:F, 6, FALSE))</f>
        <v>378.15</v>
      </c>
      <c r="F44" s="33">
        <f>IF(ISNUMBER(D44), D44*E44, "")</f>
        <v>3025.2</v>
      </c>
      <c r="G44" s="6">
        <f>IF(A44="","",IF(ISNUMBER(D44), IFERROR((D44/VLOOKUP(A44, Base_Donnees!A:F, 3, FALSE))*1000, "-"), ""))</f>
        <v>1.6</v>
      </c>
      <c r="H44" s="6" t="str">
        <f>IF(A44="","",VLOOKUP(A44, Base_Donnees!A:F, 4, FALSE))</f>
        <v>1 min</v>
      </c>
      <c r="I44" s="6" t="str">
        <f>IF(A44="","",VLOOKUP(A44, Base_Donnees!A:F, 5, FALSE))</f>
        <v>CORROSIF : Gants + lunettes obligatoires.</v>
      </c>
    </row>
    <row r="46" spans="1:9" x14ac:dyDescent="0.35">
      <c r="E46" s="8" t="s">
        <v>189</v>
      </c>
      <c r="F46" s="35">
        <f>SUM(F10,F14,F15,F16,F20,F24,F25,F30,F34,F38,F39,F43,F44)</f>
        <v>51239.799999999996</v>
      </c>
    </row>
    <row r="48" spans="1:9" x14ac:dyDescent="0.35">
      <c r="A48" s="64" t="s">
        <v>190</v>
      </c>
      <c r="B48" s="65"/>
      <c r="C48" s="65"/>
      <c r="D48" s="65"/>
      <c r="E48" s="65"/>
      <c r="F48" s="65"/>
      <c r="G48" s="65"/>
      <c r="H48" s="65"/>
      <c r="I48" s="65"/>
    </row>
    <row r="49" spans="1:9" x14ac:dyDescent="0.35">
      <c r="A49" s="10" t="s">
        <v>191</v>
      </c>
      <c r="B49" s="10" t="s">
        <v>192</v>
      </c>
      <c r="C49" s="10" t="s">
        <v>193</v>
      </c>
      <c r="D49" s="10" t="s">
        <v>194</v>
      </c>
      <c r="E49" s="10" t="s">
        <v>5</v>
      </c>
      <c r="F49" s="36" t="s">
        <v>195</v>
      </c>
      <c r="G49" s="10" t="s">
        <v>196</v>
      </c>
      <c r="H49" s="10" t="s">
        <v>197</v>
      </c>
      <c r="I49" s="10"/>
    </row>
    <row r="50" spans="1:9" x14ac:dyDescent="0.35">
      <c r="A50" s="6" t="s">
        <v>81</v>
      </c>
      <c r="B50" s="7">
        <v>2.5</v>
      </c>
      <c r="C50" s="6">
        <f>$B$3</f>
        <v>4</v>
      </c>
      <c r="D50" s="6">
        <f>IF(ISNUMBER(B50), B50*C50, "")</f>
        <v>10</v>
      </c>
      <c r="E50" s="6">
        <f>IF(A50="","",VLOOKUP(A50, Base_Donnees!A:F, 6, FALSE))</f>
        <v>550</v>
      </c>
      <c r="F50" s="33">
        <f>IF(ISNUMBER(D50), D50*E50, "")</f>
        <v>5500</v>
      </c>
      <c r="G50" s="6" t="str">
        <f>IF(A50="","",VLOOKUP(A50, Base_Donnees!A:F, 5, FALSE))</f>
        <v>Appliquer aux stades critiques du fruit.</v>
      </c>
      <c r="H50" s="6" t="str">
        <f>IF(A50="","",VLOOKUP(A50, Base_Donnees!A:F, 4, FALSE))</f>
        <v>Fermeté fruit</v>
      </c>
      <c r="I50" s="6"/>
    </row>
    <row r="51" spans="1:9" x14ac:dyDescent="0.35">
      <c r="A51" s="6"/>
      <c r="B51" s="7"/>
      <c r="C51" s="6">
        <f>$B$3</f>
        <v>4</v>
      </c>
      <c r="D51" s="6" t="str">
        <f>IF(ISNUMBER(B51), B51*C51, "")</f>
        <v/>
      </c>
      <c r="E51" s="6" t="str">
        <f>IF(A51="","",VLOOKUP(A51, Base_Donnees!A:F, 6, FALSE))</f>
        <v/>
      </c>
      <c r="F51" s="33" t="str">
        <f>IF(ISNUMBER(D51), D51*E51, "")</f>
        <v/>
      </c>
      <c r="G51" s="6" t="str">
        <f>IF(A51="","",VLOOKUP(A51, Base_Donnees!A:F, 5, FALSE))</f>
        <v/>
      </c>
      <c r="H51" s="6" t="str">
        <f>IF(A51="","",VLOOKUP(A51, Base_Donnees!A:F, 4, FALSE))</f>
        <v/>
      </c>
      <c r="I51" s="6"/>
    </row>
    <row r="52" spans="1:9" x14ac:dyDescent="0.35">
      <c r="A52" s="6"/>
      <c r="B52" s="7"/>
      <c r="C52" s="6">
        <f>$B$3</f>
        <v>4</v>
      </c>
      <c r="D52" s="6" t="str">
        <f>IF(ISNUMBER(B52), B52*C52, "")</f>
        <v/>
      </c>
      <c r="E52" s="6" t="str">
        <f>IF(A52="","",VLOOKUP(A52, Base_Donnees!A:F, 6, FALSE))</f>
        <v/>
      </c>
      <c r="F52" s="33" t="str">
        <f>IF(ISNUMBER(D52), D52*E52, "")</f>
        <v/>
      </c>
      <c r="G52" s="6" t="str">
        <f>IF(A52="","",VLOOKUP(A52, Base_Donnees!A:F, 5, FALSE))</f>
        <v/>
      </c>
      <c r="H52" s="6" t="str">
        <f>IF(A52="","",VLOOKUP(A52, Base_Donnees!A:F, 4, FALSE))</f>
        <v/>
      </c>
      <c r="I52" s="6"/>
    </row>
    <row r="53" spans="1:9" x14ac:dyDescent="0.35">
      <c r="E53" s="8" t="s">
        <v>198</v>
      </c>
      <c r="F53" s="37">
        <f>SUM(F50,F51,F52)</f>
        <v>5500</v>
      </c>
    </row>
    <row r="55" spans="1:9" x14ac:dyDescent="0.35">
      <c r="A55" s="64" t="s">
        <v>199</v>
      </c>
      <c r="B55" s="65"/>
      <c r="C55" s="65"/>
      <c r="D55" s="65"/>
      <c r="E55" s="65"/>
      <c r="F55" s="65"/>
      <c r="G55" s="65"/>
      <c r="H55" s="65"/>
      <c r="I55" s="65"/>
    </row>
    <row r="56" spans="1:9" x14ac:dyDescent="0.35">
      <c r="A56" s="12" t="s">
        <v>200</v>
      </c>
      <c r="B56" s="12" t="s">
        <v>201</v>
      </c>
      <c r="C56" s="12" t="s">
        <v>193</v>
      </c>
      <c r="D56" s="12" t="s">
        <v>194</v>
      </c>
      <c r="E56" s="12" t="s">
        <v>5</v>
      </c>
      <c r="F56" s="38" t="s">
        <v>195</v>
      </c>
      <c r="G56" s="12" t="s">
        <v>202</v>
      </c>
      <c r="H56" s="12" t="s">
        <v>203</v>
      </c>
      <c r="I56" s="12" t="s">
        <v>204</v>
      </c>
    </row>
    <row r="57" spans="1:9" x14ac:dyDescent="0.35">
      <c r="A57" s="6" t="s">
        <v>131</v>
      </c>
      <c r="B57" s="7">
        <v>1</v>
      </c>
      <c r="C57" s="6">
        <f>$B$3</f>
        <v>4</v>
      </c>
      <c r="D57" s="6">
        <f>IF(ISNUMBER(B57), B57*C57, "")</f>
        <v>4</v>
      </c>
      <c r="E57" s="6">
        <f>IF(A57="","",VLOOKUP(A57, Base_Donnees!A:F, 6, FALSE))</f>
        <v>4500</v>
      </c>
      <c r="F57" s="33">
        <f>IF(ISNUMBER(D57), D57*E57, "")</f>
        <v>18000</v>
      </c>
      <c r="G57" s="6" t="str">
        <f>IF(A57="","",VLOOKUP(A57, Base_Donnees!A:F, 3, FALSE))</f>
        <v>7 Jours</v>
      </c>
      <c r="H57" s="6" t="str">
        <f>IF(A57="","",VLOOKUP(A57, Base_Donnees!A:F, 4, FALSE))</f>
        <v>Azoxystrobine</v>
      </c>
      <c r="I57" s="6" t="str">
        <f>IF(A57="","",VLOOKUP(A57, Base_Donnees!A:F, 5, FALSE))</f>
        <v>Fongicide préventif large spectre</v>
      </c>
    </row>
    <row r="58" spans="1:9" x14ac:dyDescent="0.35">
      <c r="A58" s="6" t="s">
        <v>212</v>
      </c>
      <c r="B58" s="7">
        <v>0.5</v>
      </c>
      <c r="C58" s="6">
        <f>$B$3</f>
        <v>4</v>
      </c>
      <c r="D58" s="6">
        <f>IF(ISNUMBER(B58), B58*C58, "")</f>
        <v>2</v>
      </c>
      <c r="E58" s="6">
        <v>1</v>
      </c>
      <c r="F58" s="33">
        <f>IF(ISNUMBER(D58), D58*E58, "")</f>
        <v>2</v>
      </c>
      <c r="G58" s="6" t="e">
        <f>IF(A58="","",VLOOKUP(A58, Base_Donnees!A:F, 3, FALSE))</f>
        <v>#N/A</v>
      </c>
      <c r="H58" s="6" t="e">
        <f>IF(A58="","",VLOOKUP(A58, Base_Donnees!A:F, 4, FALSE))</f>
        <v>#N/A</v>
      </c>
      <c r="I58" s="6" t="e">
        <f>IF(A58="","",VLOOKUP(A58, Base_Donnees!A:F, 5, FALSE))</f>
        <v>#N/A</v>
      </c>
    </row>
    <row r="59" spans="1:9" x14ac:dyDescent="0.35">
      <c r="A59" s="6"/>
      <c r="B59" s="7"/>
      <c r="C59" s="6">
        <f>$B$3</f>
        <v>4</v>
      </c>
      <c r="D59" s="6" t="str">
        <f>IF(ISNUMBER(B59), B59*C59, "")</f>
        <v/>
      </c>
      <c r="E59" s="6" t="str">
        <f>IF(A59="","",VLOOKUP(A59, Base_Donnees!A:F, 6, FALSE))</f>
        <v/>
      </c>
      <c r="F59" s="33" t="str">
        <f>IF(ISNUMBER(D59), D59*E59, "")</f>
        <v/>
      </c>
      <c r="G59" s="6" t="str">
        <f>IF(A59="","",VLOOKUP(A59, Base_Donnees!A:F, 3, FALSE))</f>
        <v/>
      </c>
      <c r="H59" s="6" t="str">
        <f>IF(A59="","",VLOOKUP(A59, Base_Donnees!A:F, 4, FALSE))</f>
        <v/>
      </c>
      <c r="I59" s="6" t="str">
        <f>IF(A59="","",VLOOKUP(A59, Base_Donnees!A:F, 5, FALSE))</f>
        <v/>
      </c>
    </row>
    <row r="60" spans="1:9" x14ac:dyDescent="0.35">
      <c r="E60" s="8" t="s">
        <v>205</v>
      </c>
      <c r="F60" s="37">
        <f>SUM(F57,F58,F59)</f>
        <v>18002</v>
      </c>
    </row>
  </sheetData>
  <mergeCells count="13">
    <mergeCell ref="A55:I55"/>
    <mergeCell ref="A12:I12"/>
    <mergeCell ref="A48:I48"/>
    <mergeCell ref="A1:I1"/>
    <mergeCell ref="A18:I18"/>
    <mergeCell ref="A27:I27"/>
    <mergeCell ref="A8:I8"/>
    <mergeCell ref="A22:I22"/>
    <mergeCell ref="A7:I7"/>
    <mergeCell ref="A41:I41"/>
    <mergeCell ref="A28:I28"/>
    <mergeCell ref="A32:I32"/>
    <mergeCell ref="A36:I3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9"/>
  <sheetViews>
    <sheetView topLeftCell="A43" workbookViewId="0">
      <selection activeCell="E61" sqref="E61"/>
    </sheetView>
  </sheetViews>
  <sheetFormatPr baseColWidth="10" defaultColWidth="8.7265625" defaultRowHeight="14.5" x14ac:dyDescent="0.35"/>
  <cols>
    <col min="1" max="1" width="42" customWidth="1"/>
    <col min="2" max="3" width="15" customWidth="1"/>
    <col min="4" max="4" width="20" customWidth="1"/>
    <col min="5" max="6" width="20" style="21" customWidth="1"/>
    <col min="7" max="7" width="15" customWidth="1"/>
    <col min="8" max="8" width="20" customWidth="1"/>
    <col min="9" max="9" width="45" customWidth="1"/>
  </cols>
  <sheetData>
    <row r="1" spans="1:9" ht="19" x14ac:dyDescent="0.35">
      <c r="A1" s="68" t="s">
        <v>222</v>
      </c>
      <c r="B1" s="65"/>
      <c r="C1" s="65"/>
      <c r="D1" s="65"/>
      <c r="E1" s="65"/>
      <c r="F1" s="65"/>
      <c r="G1" s="65"/>
      <c r="H1" s="65"/>
      <c r="I1" s="65"/>
    </row>
    <row r="3" spans="1:9" x14ac:dyDescent="0.35">
      <c r="A3" t="s">
        <v>170</v>
      </c>
      <c r="B3" s="4">
        <v>4</v>
      </c>
    </row>
    <row r="4" spans="1:9" x14ac:dyDescent="0.35">
      <c r="A4" t="s">
        <v>171</v>
      </c>
      <c r="B4" s="4" t="s">
        <v>213</v>
      </c>
    </row>
    <row r="5" spans="1:9" x14ac:dyDescent="0.35">
      <c r="A5" t="s">
        <v>173</v>
      </c>
      <c r="B5" s="28" t="s">
        <v>221</v>
      </c>
    </row>
    <row r="7" spans="1:9" ht="16.5" x14ac:dyDescent="0.35">
      <c r="A7" s="67" t="s">
        <v>175</v>
      </c>
      <c r="B7" s="65"/>
      <c r="C7" s="65"/>
      <c r="D7" s="65"/>
      <c r="E7" s="65"/>
      <c r="F7" s="65"/>
      <c r="G7" s="65"/>
      <c r="H7" s="65"/>
      <c r="I7" s="65"/>
    </row>
    <row r="8" spans="1:9" x14ac:dyDescent="0.35">
      <c r="A8" s="66" t="s">
        <v>176</v>
      </c>
      <c r="B8" s="65"/>
      <c r="C8" s="65"/>
      <c r="D8" s="65"/>
      <c r="E8" s="65"/>
      <c r="F8" s="65"/>
      <c r="G8" s="65"/>
      <c r="H8" s="65"/>
      <c r="I8" s="65"/>
    </row>
    <row r="9" spans="1:9" x14ac:dyDescent="0.35">
      <c r="A9" s="1" t="s">
        <v>177</v>
      </c>
      <c r="B9" s="1" t="s">
        <v>178</v>
      </c>
      <c r="C9" s="1" t="s">
        <v>179</v>
      </c>
      <c r="D9" s="1" t="s">
        <v>180</v>
      </c>
      <c r="E9" s="32" t="s">
        <v>5</v>
      </c>
      <c r="F9" s="32" t="s">
        <v>181</v>
      </c>
      <c r="G9" s="1" t="s">
        <v>182</v>
      </c>
      <c r="H9" s="1" t="s">
        <v>183</v>
      </c>
      <c r="I9" s="1" t="s">
        <v>184</v>
      </c>
    </row>
    <row r="10" spans="1:9" x14ac:dyDescent="0.35">
      <c r="A10" s="6"/>
      <c r="B10" s="7"/>
      <c r="C10" s="7"/>
      <c r="D10" s="6" t="str">
        <f>IF(AND(ISNUMBER(B10), ISNUMBER(C10)), B10*C10*$B$3, "")</f>
        <v/>
      </c>
      <c r="E10" s="33" t="str">
        <f>IF(A10="","",VLOOKUP(A10, Base_Donnees!A:F, 6, FALSE))</f>
        <v/>
      </c>
      <c r="F10" s="33" t="str">
        <f>IF(ISNUMBER(D10), D10*E10, "")</f>
        <v/>
      </c>
      <c r="G10" s="6" t="str">
        <f>IF(A10="","",IF(ISNUMBER(D10), IFERROR((D10/VLOOKUP(A10, Base_Donnees!A:F, 3, FALSE))*1000, "-"), ""))</f>
        <v/>
      </c>
      <c r="H10" s="6" t="str">
        <f>IF(A10="","",VLOOKUP(A10, Base_Donnees!A:F, 4, FALSE))</f>
        <v/>
      </c>
      <c r="I10" s="6" t="str">
        <f>IF(A10="","",VLOOKUP(A10, Base_Donnees!A:F, 5, FALSE))</f>
        <v/>
      </c>
    </row>
    <row r="12" spans="1:9" x14ac:dyDescent="0.35">
      <c r="A12" s="66" t="s">
        <v>185</v>
      </c>
      <c r="B12" s="65"/>
      <c r="C12" s="65"/>
      <c r="D12" s="65"/>
      <c r="E12" s="65"/>
      <c r="F12" s="65"/>
      <c r="G12" s="65"/>
      <c r="H12" s="65"/>
      <c r="I12" s="65"/>
    </row>
    <row r="13" spans="1:9" x14ac:dyDescent="0.35">
      <c r="A13" s="1" t="s">
        <v>177</v>
      </c>
      <c r="B13" s="1" t="s">
        <v>178</v>
      </c>
      <c r="C13" s="1" t="s">
        <v>179</v>
      </c>
      <c r="D13" s="1" t="s">
        <v>180</v>
      </c>
      <c r="E13" s="32" t="s">
        <v>5</v>
      </c>
      <c r="F13" s="32" t="s">
        <v>181</v>
      </c>
      <c r="G13" s="1" t="s">
        <v>182</v>
      </c>
      <c r="H13" s="1" t="s">
        <v>183</v>
      </c>
      <c r="I13" s="1" t="s">
        <v>184</v>
      </c>
    </row>
    <row r="14" spans="1:9" x14ac:dyDescent="0.35">
      <c r="A14" s="6" t="s">
        <v>19</v>
      </c>
      <c r="B14" s="7">
        <v>8</v>
      </c>
      <c r="C14" s="7">
        <v>3</v>
      </c>
      <c r="D14" s="6">
        <f>IF(AND(ISNUMBER(B14), ISNUMBER(C14)), B14*C14*$B$3, "")</f>
        <v>96</v>
      </c>
      <c r="E14" s="33">
        <f>IF(A14="","",VLOOKUP(A14, Base_Donnees!A:F, 6, FALSE))</f>
        <v>45</v>
      </c>
      <c r="F14" s="33">
        <f>IF(ISNUMBER(D14), D14*E14, "")</f>
        <v>4320</v>
      </c>
      <c r="G14" s="6">
        <f>IF(A14="","",IF(ISNUMBER(D14), IFERROR((D14/VLOOKUP(A14, Base_Donnees!A:F, 3, FALSE))*1000, "-"), ""))</f>
        <v>914.28571428571422</v>
      </c>
      <c r="H14" s="6" t="str">
        <f>IF(A14="","",VLOOKUP(A14, Base_Donnees!A:F, 4, FALSE))</f>
        <v>5 min</v>
      </c>
      <c r="I14" s="6" t="str">
        <f>IF(A14="","",VLOOKUP(A14, Base_Donnees!A:F, 5, FALSE))</f>
        <v>Très soluble. Refroidit l'eau (endothermique).</v>
      </c>
    </row>
    <row r="15" spans="1:9" x14ac:dyDescent="0.35">
      <c r="A15" s="6" t="s">
        <v>24</v>
      </c>
      <c r="B15" s="7">
        <v>8</v>
      </c>
      <c r="C15" s="7">
        <v>3</v>
      </c>
      <c r="D15" s="6">
        <f>IF(AND(ISNUMBER(B15), ISNUMBER(C15)), B15*C15*$B$3, "")</f>
        <v>96</v>
      </c>
      <c r="E15" s="33">
        <f>IF(A15="","",VLOOKUP(A15, Base_Donnees!A:F, 6, FALSE))</f>
        <v>26</v>
      </c>
      <c r="F15" s="33">
        <f>IF(ISNUMBER(D15), D15*E15, "")</f>
        <v>2496</v>
      </c>
      <c r="G15" s="6">
        <f>IF(A15="","",IF(ISNUMBER(D15), IFERROR((D15/VLOOKUP(A15, Base_Donnees!A:F, 3, FALSE))*1000, "-"), ""))</f>
        <v>3200</v>
      </c>
      <c r="H15" s="6" t="str">
        <f>IF(A15="","",VLOOKUP(A15, Base_Donnees!A:F, 4, FALSE))</f>
        <v>15 min</v>
      </c>
      <c r="I15" s="6" t="str">
        <f>IF(A15="","",VLOOKUP(A15, Base_Donnees!A:F, 5, FALSE))</f>
        <v>Sensible à l'eau froide du puits.</v>
      </c>
    </row>
    <row r="16" spans="1:9" x14ac:dyDescent="0.35">
      <c r="A16" s="6" t="s">
        <v>32</v>
      </c>
      <c r="B16" s="7">
        <v>3.5</v>
      </c>
      <c r="C16" s="7">
        <v>3</v>
      </c>
      <c r="D16" s="6">
        <f>IF(AND(ISNUMBER(B16), ISNUMBER(C16)), B16*C16*$B$3, "")</f>
        <v>42</v>
      </c>
      <c r="E16" s="33">
        <f>IF(A16="","",VLOOKUP(A16, Base_Donnees!A:F, 6, FALSE))</f>
        <v>260</v>
      </c>
      <c r="F16" s="33">
        <f>IF(ISNUMBER(D16), D16*E16, "")</f>
        <v>10920</v>
      </c>
      <c r="G16" s="6">
        <f>IF(A16="","",IF(ISNUMBER(D16), IFERROR((D16/VLOOKUP(A16, Base_Donnees!A:F, 3, FALSE))*1000, "-"), ""))</f>
        <v>600</v>
      </c>
      <c r="H16" s="6" t="str">
        <f>IF(A16="","",VLOOKUP(A16, Base_Donnees!A:F, 4, FALSE))</f>
        <v>8 min</v>
      </c>
      <c r="I16" s="6" t="str">
        <f>IF(A16="","",VLOOKUP(A16, Base_Donnees!A:F, 5, FALSE))</f>
        <v>Excellente source de magnésium soluble.</v>
      </c>
    </row>
    <row r="18" spans="1:9" x14ac:dyDescent="0.35">
      <c r="A18" s="66" t="s">
        <v>186</v>
      </c>
      <c r="B18" s="65"/>
      <c r="C18" s="65"/>
      <c r="D18" s="65"/>
      <c r="E18" s="65"/>
      <c r="F18" s="65"/>
      <c r="G18" s="65"/>
      <c r="H18" s="65"/>
      <c r="I18" s="65"/>
    </row>
    <row r="19" spans="1:9" x14ac:dyDescent="0.35">
      <c r="A19" s="1" t="s">
        <v>177</v>
      </c>
      <c r="B19" s="1" t="s">
        <v>178</v>
      </c>
      <c r="C19" s="1" t="s">
        <v>179</v>
      </c>
      <c r="D19" s="1" t="s">
        <v>180</v>
      </c>
      <c r="E19" s="32" t="s">
        <v>5</v>
      </c>
      <c r="F19" s="32" t="s">
        <v>181</v>
      </c>
      <c r="G19" s="1" t="s">
        <v>182</v>
      </c>
      <c r="H19" s="1" t="s">
        <v>183</v>
      </c>
      <c r="I19" s="1" t="s">
        <v>184</v>
      </c>
    </row>
    <row r="20" spans="1:9" x14ac:dyDescent="0.35">
      <c r="A20" s="6"/>
      <c r="B20" s="7"/>
      <c r="C20" s="7"/>
      <c r="D20" s="6" t="str">
        <f>IF(AND(ISNUMBER(B20), ISNUMBER(C20)), B20*C20*$B$3, "")</f>
        <v/>
      </c>
      <c r="E20" s="33" t="str">
        <f>IF(A20="","",VLOOKUP(A20, Base_Donnees!A:F, 6, FALSE))</f>
        <v/>
      </c>
      <c r="F20" s="33" t="str">
        <f>IF(ISNUMBER(D20), D20*E20, "")</f>
        <v/>
      </c>
      <c r="G20" s="6" t="str">
        <f>IF(A20="","",IF(ISNUMBER(D20), IFERROR((D20/VLOOKUP(A20, Base_Donnees!A:F, 3, FALSE))*1000, "-"), ""))</f>
        <v/>
      </c>
      <c r="H20" s="6" t="str">
        <f>IF(A20="","",VLOOKUP(A20, Base_Donnees!A:F, 4, FALSE))</f>
        <v/>
      </c>
      <c r="I20" s="6" t="str">
        <f>IF(A20="","",VLOOKUP(A20, Base_Donnees!A:F, 5, FALSE))</f>
        <v/>
      </c>
    </row>
    <row r="22" spans="1:9" x14ac:dyDescent="0.35">
      <c r="A22" s="66" t="s">
        <v>187</v>
      </c>
      <c r="B22" s="65"/>
      <c r="C22" s="65"/>
      <c r="D22" s="65"/>
      <c r="E22" s="65"/>
      <c r="F22" s="65"/>
      <c r="G22" s="65"/>
      <c r="H22" s="65"/>
      <c r="I22" s="65"/>
    </row>
    <row r="23" spans="1:9" x14ac:dyDescent="0.35">
      <c r="A23" s="1" t="s">
        <v>177</v>
      </c>
      <c r="B23" s="1" t="s">
        <v>178</v>
      </c>
      <c r="C23" s="1" t="s">
        <v>179</v>
      </c>
      <c r="D23" s="1" t="s">
        <v>180</v>
      </c>
      <c r="E23" s="32" t="s">
        <v>5</v>
      </c>
      <c r="F23" s="32" t="s">
        <v>181</v>
      </c>
      <c r="G23" s="1" t="s">
        <v>182</v>
      </c>
      <c r="H23" s="1" t="s">
        <v>183</v>
      </c>
      <c r="I23" s="1" t="s">
        <v>184</v>
      </c>
    </row>
    <row r="24" spans="1:9" x14ac:dyDescent="0.35">
      <c r="A24" s="6" t="s">
        <v>55</v>
      </c>
      <c r="B24" s="7">
        <v>2</v>
      </c>
      <c r="C24" s="7">
        <v>3</v>
      </c>
      <c r="D24" s="6">
        <f>IF(AND(ISNUMBER(B24), ISNUMBER(C24)), B24*C24*$B$3, "")</f>
        <v>24</v>
      </c>
      <c r="E24" s="33">
        <f>IF(A24="","",VLOOKUP(A24, Base_Donnees!A:F, 6, FALSE))</f>
        <v>378.15</v>
      </c>
      <c r="F24" s="33">
        <f>IF(ISNUMBER(D24), D24*E24, "")</f>
        <v>9075.5999999999985</v>
      </c>
      <c r="G24" s="6">
        <f>IF(A24="","",IF(ISNUMBER(D24), IFERROR((D24/VLOOKUP(A24, Base_Donnees!A:F, 3, FALSE))*1000, "-"), ""))</f>
        <v>4.8</v>
      </c>
      <c r="H24" s="6" t="str">
        <f>IF(A24="","",VLOOKUP(A24, Base_Donnees!A:F, 4, FALSE))</f>
        <v>1 min</v>
      </c>
      <c r="I24" s="6" t="str">
        <f>IF(A24="","",VLOOKUP(A24, Base_Donnees!A:F, 5, FALSE))</f>
        <v>CORROSIF : Gants + lunettes obligatoires.</v>
      </c>
    </row>
    <row r="26" spans="1:9" ht="16.5" x14ac:dyDescent="0.35">
      <c r="A26" s="69" t="s">
        <v>188</v>
      </c>
      <c r="B26" s="65"/>
      <c r="C26" s="65"/>
      <c r="D26" s="65"/>
      <c r="E26" s="65"/>
      <c r="F26" s="65"/>
      <c r="G26" s="65"/>
      <c r="H26" s="65"/>
      <c r="I26" s="65"/>
    </row>
    <row r="27" spans="1:9" x14ac:dyDescent="0.35">
      <c r="A27" s="66" t="s">
        <v>176</v>
      </c>
      <c r="B27" s="65"/>
      <c r="C27" s="65"/>
      <c r="D27" s="65"/>
      <c r="E27" s="65"/>
      <c r="F27" s="65"/>
      <c r="G27" s="65"/>
      <c r="H27" s="65"/>
      <c r="I27" s="65"/>
    </row>
    <row r="28" spans="1:9" x14ac:dyDescent="0.35">
      <c r="A28" s="1" t="s">
        <v>177</v>
      </c>
      <c r="B28" s="1" t="s">
        <v>178</v>
      </c>
      <c r="C28" s="1" t="s">
        <v>179</v>
      </c>
      <c r="D28" s="1" t="s">
        <v>180</v>
      </c>
      <c r="E28" s="32" t="s">
        <v>5</v>
      </c>
      <c r="F28" s="32" t="s">
        <v>181</v>
      </c>
      <c r="G28" s="1" t="s">
        <v>182</v>
      </c>
      <c r="H28" s="1" t="s">
        <v>183</v>
      </c>
      <c r="I28" s="1" t="s">
        <v>184</v>
      </c>
    </row>
    <row r="29" spans="1:9" x14ac:dyDescent="0.35">
      <c r="A29" s="6" t="s">
        <v>12</v>
      </c>
      <c r="B29" s="7">
        <v>5</v>
      </c>
      <c r="C29" s="7">
        <v>1</v>
      </c>
      <c r="D29" s="6">
        <f>IF(AND(ISNUMBER(B29), ISNUMBER(C29)), B29*C29*$B$3, "")</f>
        <v>20</v>
      </c>
      <c r="E29" s="33">
        <f>IF(A29="","",VLOOKUP(A29, Base_Donnees!A:F, 6, FALSE))</f>
        <v>160</v>
      </c>
      <c r="F29" s="33">
        <f>IF(ISNUMBER(D29), D29*E29, "")</f>
        <v>3200</v>
      </c>
      <c r="G29" s="6">
        <f>IF(A29="","",IF(ISNUMBER(D29), IFERROR((D29/VLOOKUP(A29, Base_Donnees!A:F, 3, FALSE))*1000, "-"), ""))</f>
        <v>166.66666666666666</v>
      </c>
      <c r="H29" s="6" t="str">
        <f>IF(A29="","",VLOOKUP(A29, Base_Donnees!A:F, 4, FALSE))</f>
        <v>6 min</v>
      </c>
      <c r="I29" s="6" t="str">
        <f>IF(A29="","",VLOOKUP(A29, Base_Donnees!A:F, 5, FALSE))</f>
        <v>CRITIQUE : Isoler totalement des Sulfates/Phosphates.</v>
      </c>
    </row>
    <row r="31" spans="1:9" x14ac:dyDescent="0.35">
      <c r="A31" s="66" t="s">
        <v>185</v>
      </c>
      <c r="B31" s="65"/>
      <c r="C31" s="65"/>
      <c r="D31" s="65"/>
      <c r="E31" s="65"/>
      <c r="F31" s="65"/>
      <c r="G31" s="65"/>
      <c r="H31" s="65"/>
      <c r="I31" s="65"/>
    </row>
    <row r="32" spans="1:9" x14ac:dyDescent="0.35">
      <c r="A32" s="1" t="s">
        <v>177</v>
      </c>
      <c r="B32" s="1" t="s">
        <v>178</v>
      </c>
      <c r="C32" s="1" t="s">
        <v>179</v>
      </c>
      <c r="D32" s="1" t="s">
        <v>180</v>
      </c>
      <c r="E32" s="32" t="s">
        <v>5</v>
      </c>
      <c r="F32" s="32" t="s">
        <v>181</v>
      </c>
      <c r="G32" s="1" t="s">
        <v>182</v>
      </c>
      <c r="H32" s="1" t="s">
        <v>183</v>
      </c>
      <c r="I32" s="1" t="s">
        <v>184</v>
      </c>
    </row>
    <row r="33" spans="1:9" x14ac:dyDescent="0.35">
      <c r="A33" s="6" t="s">
        <v>19</v>
      </c>
      <c r="B33" s="7">
        <v>5</v>
      </c>
      <c r="C33" s="7">
        <v>1</v>
      </c>
      <c r="D33" s="6">
        <f>IF(AND(ISNUMBER(B33), ISNUMBER(C33)), B33*C33*$B$3, "")</f>
        <v>20</v>
      </c>
      <c r="E33" s="33">
        <f>IF(A33="","",VLOOKUP(A33, Base_Donnees!A:F, 6, FALSE))</f>
        <v>45</v>
      </c>
      <c r="F33" s="33">
        <f>IF(ISNUMBER(D33), D33*E33, "")</f>
        <v>900</v>
      </c>
      <c r="G33" s="6">
        <f>IF(A33="","",IF(ISNUMBER(D33), IFERROR((D33/VLOOKUP(A33, Base_Donnees!A:F, 3, FALSE))*1000, "-"), ""))</f>
        <v>190.47619047619045</v>
      </c>
      <c r="H33" s="6" t="str">
        <f>IF(A33="","",VLOOKUP(A33, Base_Donnees!A:F, 4, FALSE))</f>
        <v>5 min</v>
      </c>
      <c r="I33" s="6" t="str">
        <f>IF(A33="","",VLOOKUP(A33, Base_Donnees!A:F, 5, FALSE))</f>
        <v>Très soluble. Refroidit l'eau (endothermique).</v>
      </c>
    </row>
    <row r="35" spans="1:9" x14ac:dyDescent="0.35">
      <c r="A35" s="66" t="s">
        <v>186</v>
      </c>
      <c r="B35" s="65"/>
      <c r="C35" s="65"/>
      <c r="D35" s="65"/>
      <c r="E35" s="65"/>
      <c r="F35" s="65"/>
      <c r="G35" s="65"/>
      <c r="H35" s="65"/>
      <c r="I35" s="65"/>
    </row>
    <row r="36" spans="1:9" x14ac:dyDescent="0.35">
      <c r="A36" s="1" t="s">
        <v>177</v>
      </c>
      <c r="B36" s="1" t="s">
        <v>178</v>
      </c>
      <c r="C36" s="1" t="s">
        <v>179</v>
      </c>
      <c r="D36" s="1" t="s">
        <v>180</v>
      </c>
      <c r="E36" s="32" t="s">
        <v>5</v>
      </c>
      <c r="F36" s="32" t="s">
        <v>181</v>
      </c>
      <c r="G36" s="1" t="s">
        <v>182</v>
      </c>
      <c r="H36" s="1" t="s">
        <v>183</v>
      </c>
      <c r="I36" s="1" t="s">
        <v>184</v>
      </c>
    </row>
    <row r="37" spans="1:9" x14ac:dyDescent="0.35">
      <c r="A37" s="6" t="s">
        <v>42</v>
      </c>
      <c r="B37" s="7">
        <v>5</v>
      </c>
      <c r="C37" s="7">
        <v>1</v>
      </c>
      <c r="D37" s="6">
        <f>IF(AND(ISNUMBER(B37), ISNUMBER(C37)), B37*C37*$B$3, "")</f>
        <v>20</v>
      </c>
      <c r="E37" s="33">
        <f>IF(A37="","",VLOOKUP(A37, Base_Donnees!A:F, 6, FALSE))</f>
        <v>420</v>
      </c>
      <c r="F37" s="33">
        <f>IF(ISNUMBER(D37), D37*E37, "")</f>
        <v>8400</v>
      </c>
      <c r="G37" s="6">
        <f>IF(A37="","",IF(ISNUMBER(D37), IFERROR((D37/VLOOKUP(A37, Base_Donnees!A:F, 3, FALSE))*1000, "-"), ""))</f>
        <v>400</v>
      </c>
      <c r="H37" s="6" t="str">
        <f>IF(A37="","",VLOOKUP(A37, Base_Donnees!A:F, 4, FALSE))</f>
        <v>15 min</v>
      </c>
      <c r="I37" s="6" t="str">
        <f>IF(A37="","",VLOOKUP(A37, Base_Donnees!A:F, 5, FALSE))</f>
        <v>Améliore la structure du sol et l'assimilation.</v>
      </c>
    </row>
    <row r="38" spans="1:9" x14ac:dyDescent="0.35">
      <c r="A38" s="6" t="s">
        <v>46</v>
      </c>
      <c r="B38" s="7">
        <v>0.5</v>
      </c>
      <c r="C38" s="7">
        <v>1</v>
      </c>
      <c r="D38" s="6">
        <f>IF(AND(ISNUMBER(B38), ISNUMBER(C38)), B38*C38*$B$3, "")</f>
        <v>2</v>
      </c>
      <c r="E38" s="33">
        <f>IF(A38="","",VLOOKUP(A38, Base_Donnees!A:F, 6, FALSE))</f>
        <v>3200</v>
      </c>
      <c r="F38" s="33">
        <f>IF(ISNUMBER(D38), D38*E38, "")</f>
        <v>6400</v>
      </c>
      <c r="G38" s="6">
        <f>IF(A38="","",IF(ISNUMBER(D38), IFERROR((D38/VLOOKUP(A38, Base_Donnees!A:F, 3, FALSE))*1000, "-"), ""))</f>
        <v>22.222222222222221</v>
      </c>
      <c r="H38" s="6" t="str">
        <f>IF(A38="","",VLOOKUP(A38, Base_Donnees!A:F, 4, FALSE))</f>
        <v>8 min</v>
      </c>
      <c r="I38" s="6" t="str">
        <f>IF(A38="","",VLOOKUP(A38, Base_Donnees!A:F, 5, FALSE))</f>
        <v>Indispensable contre la chlorose en sol calcaire.</v>
      </c>
    </row>
    <row r="40" spans="1:9" x14ac:dyDescent="0.35">
      <c r="A40" s="66" t="s">
        <v>187</v>
      </c>
      <c r="B40" s="65"/>
      <c r="C40" s="65"/>
      <c r="D40" s="65"/>
      <c r="E40" s="65"/>
      <c r="F40" s="65"/>
      <c r="G40" s="65"/>
      <c r="H40" s="65"/>
      <c r="I40" s="65"/>
    </row>
    <row r="41" spans="1:9" x14ac:dyDescent="0.35">
      <c r="A41" s="1" t="s">
        <v>177</v>
      </c>
      <c r="B41" s="1" t="s">
        <v>178</v>
      </c>
      <c r="C41" s="1" t="s">
        <v>179</v>
      </c>
      <c r="D41" s="1" t="s">
        <v>180</v>
      </c>
      <c r="E41" s="32" t="s">
        <v>5</v>
      </c>
      <c r="F41" s="32" t="s">
        <v>181</v>
      </c>
      <c r="G41" s="1" t="s">
        <v>182</v>
      </c>
      <c r="H41" s="1" t="s">
        <v>183</v>
      </c>
      <c r="I41" s="1" t="s">
        <v>184</v>
      </c>
    </row>
    <row r="42" spans="1:9" x14ac:dyDescent="0.35">
      <c r="A42" s="6" t="s">
        <v>69</v>
      </c>
      <c r="B42" s="7">
        <v>1</v>
      </c>
      <c r="C42" s="7">
        <v>1</v>
      </c>
      <c r="D42" s="6">
        <f>IF(AND(ISNUMBER(B42), ISNUMBER(C42)), B42*C42*$B$3, "")</f>
        <v>4</v>
      </c>
      <c r="E42" s="33">
        <f>IF(A42="","",VLOOKUP(A42, Base_Donnees!A:F, 6, FALSE))</f>
        <v>3000</v>
      </c>
      <c r="F42" s="33">
        <f>IF(ISNUMBER(D42), D42*E42, "")</f>
        <v>12000</v>
      </c>
      <c r="G42" s="6">
        <f>IF(A42="","",IF(ISNUMBER(D42), IFERROR((D42/VLOOKUP(A42, Base_Donnees!A:F, 3, FALSE))*1000, "-"), ""))</f>
        <v>12.121212121212121</v>
      </c>
      <c r="H42" s="6" t="str">
        <f>IF(A42="","",VLOOKUP(A42, Base_Donnees!A:F, 4, FALSE))</f>
        <v>5 min</v>
      </c>
      <c r="I42" s="6" t="str">
        <f>IF(A42="","",VLOOKUP(A42, Base_Donnees!A:F, 5, FALSE))</f>
        <v>Soutient la plante contre le stress thermique saharien.</v>
      </c>
    </row>
    <row r="43" spans="1:9" x14ac:dyDescent="0.35">
      <c r="A43" s="6" t="s">
        <v>65</v>
      </c>
      <c r="B43" s="7">
        <v>2</v>
      </c>
      <c r="C43" s="7">
        <v>1</v>
      </c>
      <c r="D43" s="6">
        <f>IF(AND(ISNUMBER(B43), ISNUMBER(C43)), B43*C43*$B$3, "")</f>
        <v>8</v>
      </c>
      <c r="E43" s="33">
        <f>IF(A43="","",VLOOKUP(A43, Base_Donnees!A:F, 6, FALSE))</f>
        <v>410.55</v>
      </c>
      <c r="F43" s="33">
        <f>IF(ISNUMBER(D43), D43*E43, "")</f>
        <v>3284.4</v>
      </c>
      <c r="G43" s="6">
        <f>IF(A43="","",IF(ISNUMBER(D43), IFERROR((D43/VLOOKUP(A43, Base_Donnees!A:F, 3, FALSE))*1000, "-"), ""))</f>
        <v>13.559322033898304</v>
      </c>
      <c r="H43" s="6" t="str">
        <f>IF(A43="","",VLOOKUP(A43, Base_Donnees!A:F, 4, FALSE))</f>
        <v>4 min</v>
      </c>
      <c r="I43" s="6" t="str">
        <f>IF(A43="","",VLOOKUP(A43, Base_Donnees!A:F, 5, FALSE))</f>
        <v>Idéal pour chélater et nettoyer les goutteurs.</v>
      </c>
    </row>
    <row r="45" spans="1:9" x14ac:dyDescent="0.35">
      <c r="E45" s="34" t="s">
        <v>189</v>
      </c>
      <c r="F45" s="35">
        <f>SUM(F10,F14,F15,F16,F20,F24,F29,F33,F37,F38,F42,F43)</f>
        <v>60996</v>
      </c>
    </row>
    <row r="47" spans="1:9" x14ac:dyDescent="0.35">
      <c r="A47" s="64" t="s">
        <v>190</v>
      </c>
      <c r="B47" s="65"/>
      <c r="C47" s="65"/>
      <c r="D47" s="65"/>
      <c r="E47" s="65"/>
      <c r="F47" s="65"/>
      <c r="G47" s="65"/>
      <c r="H47" s="65"/>
      <c r="I47" s="65"/>
    </row>
    <row r="48" spans="1:9" x14ac:dyDescent="0.35">
      <c r="A48" s="10" t="s">
        <v>191</v>
      </c>
      <c r="B48" s="10" t="s">
        <v>192</v>
      </c>
      <c r="C48" s="10" t="s">
        <v>193</v>
      </c>
      <c r="D48" s="10" t="s">
        <v>194</v>
      </c>
      <c r="E48" s="36" t="s">
        <v>5</v>
      </c>
      <c r="F48" s="36" t="s">
        <v>195</v>
      </c>
      <c r="G48" s="10" t="s">
        <v>196</v>
      </c>
      <c r="H48" s="10" t="s">
        <v>197</v>
      </c>
      <c r="I48" s="10"/>
    </row>
    <row r="49" spans="1:9" x14ac:dyDescent="0.35">
      <c r="A49" s="6" t="s">
        <v>78</v>
      </c>
      <c r="B49" s="7">
        <v>1.5</v>
      </c>
      <c r="C49" s="6">
        <f>$B$3</f>
        <v>4</v>
      </c>
      <c r="D49" s="6">
        <f>IF(ISNUMBER(B49), B49*C49, "")</f>
        <v>6</v>
      </c>
      <c r="E49" s="33">
        <f>IF(A49="","",VLOOKUP(A49, Base_Donnees!A:F, 6, FALSE))</f>
        <v>2000</v>
      </c>
      <c r="F49" s="33">
        <f>IF(ISNUMBER(D49), D49*E49, "")</f>
        <v>12000</v>
      </c>
      <c r="G49" s="6" t="str">
        <f>IF(A49="","",VLOOKUP(A49, Base_Donnees!A:F, 5, FALSE))</f>
        <v>Soutien de la vigueur foliaire et division.</v>
      </c>
      <c r="H49" s="6" t="str">
        <f>IF(A49="","",VLOOKUP(A49, Base_Donnees!A:F, 4, FALSE))</f>
        <v>Extrait d'algues</v>
      </c>
      <c r="I49" s="6"/>
    </row>
    <row r="50" spans="1:9" x14ac:dyDescent="0.35">
      <c r="A50" s="6" t="s">
        <v>37</v>
      </c>
      <c r="B50" s="7">
        <v>1.5</v>
      </c>
      <c r="C50" s="6">
        <f>$B$3</f>
        <v>4</v>
      </c>
      <c r="D50" s="6">
        <f>IF(ISNUMBER(B50), B50*C50, "")</f>
        <v>6</v>
      </c>
      <c r="E50" s="33">
        <f>IF(A50="","",VLOOKUP(A50, Base_Donnees!A:F, 6, FALSE))</f>
        <v>3450</v>
      </c>
      <c r="F50" s="33">
        <f>IF(ISNUMBER(D50), D50*E50, "")</f>
        <v>20700</v>
      </c>
      <c r="G50" s="6" t="str">
        <f>IF(A50="","",VLOOKUP(A50, Base_Donnees!A:F, 5, FALSE))</f>
        <v>Mélange complet d'oligo-éléments chélatés.</v>
      </c>
      <c r="H50" s="6" t="str">
        <f>IF(A50="","",VLOOKUP(A50, Base_Donnees!A:F, 4, FALSE))</f>
        <v>10 min</v>
      </c>
      <c r="I50" s="6"/>
    </row>
    <row r="51" spans="1:9" x14ac:dyDescent="0.35">
      <c r="A51" s="6"/>
      <c r="B51" s="7"/>
      <c r="C51" s="6">
        <f>$B$3</f>
        <v>4</v>
      </c>
      <c r="D51" s="6" t="str">
        <f>IF(ISNUMBER(B51), B51*C51, "")</f>
        <v/>
      </c>
      <c r="E51" s="33" t="str">
        <f>IF(A51="","",VLOOKUP(A51, Base_Donnees!A:F, 6, FALSE))</f>
        <v/>
      </c>
      <c r="F51" s="33" t="str">
        <f>IF(ISNUMBER(D51), D51*E51, "")</f>
        <v/>
      </c>
      <c r="G51" s="6" t="str">
        <f>IF(A51="","",VLOOKUP(A51, Base_Donnees!A:F, 5, FALSE))</f>
        <v/>
      </c>
      <c r="H51" s="6" t="str">
        <f>IF(A51="","",VLOOKUP(A51, Base_Donnees!A:F, 4, FALSE))</f>
        <v/>
      </c>
      <c r="I51" s="6"/>
    </row>
    <row r="52" spans="1:9" x14ac:dyDescent="0.35">
      <c r="E52" s="34" t="s">
        <v>198</v>
      </c>
      <c r="F52" s="37">
        <f>SUM(F49,F50,F51)</f>
        <v>32700</v>
      </c>
    </row>
    <row r="54" spans="1:9" x14ac:dyDescent="0.35">
      <c r="A54" s="64" t="s">
        <v>199</v>
      </c>
      <c r="B54" s="65"/>
      <c r="C54" s="65"/>
      <c r="D54" s="65"/>
      <c r="E54" s="65"/>
      <c r="F54" s="65"/>
      <c r="G54" s="65"/>
      <c r="H54" s="65"/>
      <c r="I54" s="65"/>
    </row>
    <row r="55" spans="1:9" x14ac:dyDescent="0.35">
      <c r="A55" s="12" t="s">
        <v>200</v>
      </c>
      <c r="B55" s="12" t="s">
        <v>201</v>
      </c>
      <c r="C55" s="12" t="s">
        <v>193</v>
      </c>
      <c r="D55" s="12" t="s">
        <v>194</v>
      </c>
      <c r="E55" s="38" t="s">
        <v>5</v>
      </c>
      <c r="F55" s="38" t="s">
        <v>195</v>
      </c>
      <c r="G55" s="12" t="s">
        <v>202</v>
      </c>
      <c r="H55" s="12" t="s">
        <v>203</v>
      </c>
      <c r="I55" s="12" t="s">
        <v>204</v>
      </c>
    </row>
    <row r="56" spans="1:9" x14ac:dyDescent="0.35">
      <c r="A56" s="6" t="s">
        <v>214</v>
      </c>
      <c r="B56" s="7">
        <v>0.5</v>
      </c>
      <c r="C56" s="6">
        <f>$B$3</f>
        <v>4</v>
      </c>
      <c r="D56" s="6">
        <f>IF(ISNUMBER(B56), B56*C56, "")</f>
        <v>2</v>
      </c>
      <c r="E56" s="33">
        <v>1</v>
      </c>
      <c r="F56" s="33">
        <f>IF(ISNUMBER(D56), D56*E56, "")</f>
        <v>2</v>
      </c>
      <c r="G56" s="6" t="e">
        <f>IF(A56="","",VLOOKUP(A56, Base_Donnees!A:F, 3, FALSE))</f>
        <v>#N/A</v>
      </c>
      <c r="H56" s="6" t="e">
        <f>IF(A56="","",VLOOKUP(A56, Base_Donnees!A:F, 4, FALSE))</f>
        <v>#N/A</v>
      </c>
      <c r="I56" s="6" t="e">
        <f>IF(A56="","",VLOOKUP(A56, Base_Donnees!A:F, 5, FALSE))</f>
        <v>#N/A</v>
      </c>
    </row>
    <row r="57" spans="1:9" x14ac:dyDescent="0.35">
      <c r="A57" s="6"/>
      <c r="B57" s="7"/>
      <c r="C57" s="6">
        <f>$B$3</f>
        <v>4</v>
      </c>
      <c r="D57" s="6" t="str">
        <f>IF(ISNUMBER(B57), B57*C57, "")</f>
        <v/>
      </c>
      <c r="E57" s="33" t="str">
        <f>IF(A57="","",VLOOKUP(A57, Base_Donnees!A:F, 6, FALSE))</f>
        <v/>
      </c>
      <c r="F57" s="33" t="str">
        <f>IF(ISNUMBER(D57), D57*E57, "")</f>
        <v/>
      </c>
      <c r="G57" s="6" t="str">
        <f>IF(A57="","",VLOOKUP(A57, Base_Donnees!A:F, 3, FALSE))</f>
        <v/>
      </c>
      <c r="H57" s="6" t="str">
        <f>IF(A57="","",VLOOKUP(A57, Base_Donnees!A:F, 4, FALSE))</f>
        <v/>
      </c>
      <c r="I57" s="6" t="str">
        <f>IF(A57="","",VLOOKUP(A57, Base_Donnees!A:F, 5, FALSE))</f>
        <v/>
      </c>
    </row>
    <row r="58" spans="1:9" x14ac:dyDescent="0.35">
      <c r="A58" s="6"/>
      <c r="B58" s="7"/>
      <c r="C58" s="6">
        <f>$B$3</f>
        <v>4</v>
      </c>
      <c r="D58" s="6" t="str">
        <f>IF(ISNUMBER(B58), B58*C58, "")</f>
        <v/>
      </c>
      <c r="E58" s="33" t="str">
        <f>IF(A58="","",VLOOKUP(A58, Base_Donnees!A:F, 6, FALSE))</f>
        <v/>
      </c>
      <c r="F58" s="33" t="str">
        <f>IF(ISNUMBER(D58), D58*E58, "")</f>
        <v/>
      </c>
      <c r="G58" s="6" t="str">
        <f>IF(A58="","",VLOOKUP(A58, Base_Donnees!A:F, 3, FALSE))</f>
        <v/>
      </c>
      <c r="H58" s="6" t="str">
        <f>IF(A58="","",VLOOKUP(A58, Base_Donnees!A:F, 4, FALSE))</f>
        <v/>
      </c>
      <c r="I58" s="6" t="str">
        <f>IF(A58="","",VLOOKUP(A58, Base_Donnees!A:F, 5, FALSE))</f>
        <v/>
      </c>
    </row>
    <row r="59" spans="1:9" x14ac:dyDescent="0.35">
      <c r="E59" s="34" t="s">
        <v>205</v>
      </c>
      <c r="F59" s="37">
        <f>SUM(F56,F57,F58)</f>
        <v>2</v>
      </c>
    </row>
  </sheetData>
  <mergeCells count="13">
    <mergeCell ref="A54:I54"/>
    <mergeCell ref="A35:I35"/>
    <mergeCell ref="A7:I7"/>
    <mergeCell ref="A47:I47"/>
    <mergeCell ref="A1:I1"/>
    <mergeCell ref="A40:I40"/>
    <mergeCell ref="A18:I18"/>
    <mergeCell ref="A27:I27"/>
    <mergeCell ref="A8:I8"/>
    <mergeCell ref="A31:I31"/>
    <mergeCell ref="A22:I22"/>
    <mergeCell ref="A12:I12"/>
    <mergeCell ref="A26:I2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8"/>
  <sheetViews>
    <sheetView topLeftCell="A43" workbookViewId="0">
      <selection activeCell="E60" sqref="E60"/>
    </sheetView>
  </sheetViews>
  <sheetFormatPr baseColWidth="10" defaultColWidth="8.7265625" defaultRowHeight="14.5" x14ac:dyDescent="0.35"/>
  <cols>
    <col min="1" max="1" width="42" customWidth="1"/>
    <col min="2" max="3" width="15" customWidth="1"/>
    <col min="4" max="4" width="20" customWidth="1"/>
    <col min="5" max="6" width="20" style="21" customWidth="1"/>
    <col min="7" max="7" width="15" customWidth="1"/>
    <col min="8" max="8" width="20" customWidth="1"/>
    <col min="9" max="9" width="45" customWidth="1"/>
  </cols>
  <sheetData>
    <row r="1" spans="1:9" ht="19" x14ac:dyDescent="0.35">
      <c r="A1" s="68" t="s">
        <v>206</v>
      </c>
      <c r="B1" s="65"/>
      <c r="C1" s="65"/>
      <c r="D1" s="65"/>
      <c r="E1" s="65"/>
      <c r="F1" s="65"/>
      <c r="G1" s="65"/>
      <c r="H1" s="65"/>
      <c r="I1" s="65"/>
    </row>
    <row r="3" spans="1:9" x14ac:dyDescent="0.35">
      <c r="A3" t="s">
        <v>170</v>
      </c>
      <c r="B3" s="4">
        <v>2</v>
      </c>
    </row>
    <row r="4" spans="1:9" x14ac:dyDescent="0.35">
      <c r="A4" t="s">
        <v>171</v>
      </c>
      <c r="B4" s="4" t="s">
        <v>213</v>
      </c>
    </row>
    <row r="5" spans="1:9" x14ac:dyDescent="0.35">
      <c r="A5" t="s">
        <v>173</v>
      </c>
      <c r="B5" s="28" t="s">
        <v>220</v>
      </c>
    </row>
    <row r="7" spans="1:9" ht="16.5" x14ac:dyDescent="0.35">
      <c r="A7" s="67" t="s">
        <v>175</v>
      </c>
      <c r="B7" s="65"/>
      <c r="C7" s="65"/>
      <c r="D7" s="65"/>
      <c r="E7" s="65"/>
      <c r="F7" s="65"/>
      <c r="G7" s="65"/>
      <c r="H7" s="65"/>
      <c r="I7" s="65"/>
    </row>
    <row r="8" spans="1:9" x14ac:dyDescent="0.35">
      <c r="A8" s="66" t="s">
        <v>176</v>
      </c>
      <c r="B8" s="65"/>
      <c r="C8" s="65"/>
      <c r="D8" s="65"/>
      <c r="E8" s="65"/>
      <c r="F8" s="65"/>
      <c r="G8" s="65"/>
      <c r="H8" s="65"/>
      <c r="I8" s="65"/>
    </row>
    <row r="9" spans="1:9" x14ac:dyDescent="0.35">
      <c r="A9" s="1" t="s">
        <v>177</v>
      </c>
      <c r="B9" s="1" t="s">
        <v>178</v>
      </c>
      <c r="C9" s="1" t="s">
        <v>179</v>
      </c>
      <c r="D9" s="1" t="s">
        <v>180</v>
      </c>
      <c r="E9" s="32" t="s">
        <v>5</v>
      </c>
      <c r="F9" s="32" t="s">
        <v>181</v>
      </c>
      <c r="G9" s="1" t="s">
        <v>182</v>
      </c>
      <c r="H9" s="1" t="s">
        <v>183</v>
      </c>
      <c r="I9" s="1" t="s">
        <v>184</v>
      </c>
    </row>
    <row r="10" spans="1:9" x14ac:dyDescent="0.35">
      <c r="A10" s="6"/>
      <c r="B10" s="7"/>
      <c r="C10" s="7"/>
      <c r="D10" s="6" t="str">
        <f>IF(AND(ISNUMBER(B10), ISNUMBER(C10)), B10*C10*$B$3, "")</f>
        <v/>
      </c>
      <c r="E10" s="33" t="str">
        <f>IF(A10="","",VLOOKUP(A10, Base_Donnees!A:F, 6, FALSE))</f>
        <v/>
      </c>
      <c r="F10" s="33" t="str">
        <f>IF(ISNUMBER(D10), D10*E10, "")</f>
        <v/>
      </c>
      <c r="G10" s="6" t="str">
        <f>IF(A10="","",IF(ISNUMBER(D10), IFERROR((D10/VLOOKUP(A10, Base_Donnees!A:F, 3, FALSE))*1000, "-"), ""))</f>
        <v/>
      </c>
      <c r="H10" s="6" t="str">
        <f>IF(A10="","",VLOOKUP(A10, Base_Donnees!A:F, 4, FALSE))</f>
        <v/>
      </c>
      <c r="I10" s="6" t="str">
        <f>IF(A10="","",VLOOKUP(A10, Base_Donnees!A:F, 5, FALSE))</f>
        <v/>
      </c>
    </row>
    <row r="12" spans="1:9" x14ac:dyDescent="0.35">
      <c r="A12" s="66" t="s">
        <v>185</v>
      </c>
      <c r="B12" s="65"/>
      <c r="C12" s="65"/>
      <c r="D12" s="65"/>
      <c r="E12" s="65"/>
      <c r="F12" s="65"/>
      <c r="G12" s="65"/>
      <c r="H12" s="65"/>
      <c r="I12" s="65"/>
    </row>
    <row r="13" spans="1:9" x14ac:dyDescent="0.35">
      <c r="A13" s="1" t="s">
        <v>177</v>
      </c>
      <c r="B13" s="1" t="s">
        <v>178</v>
      </c>
      <c r="C13" s="1" t="s">
        <v>179</v>
      </c>
      <c r="D13" s="1" t="s">
        <v>180</v>
      </c>
      <c r="E13" s="32" t="s">
        <v>5</v>
      </c>
      <c r="F13" s="32" t="s">
        <v>181</v>
      </c>
      <c r="G13" s="1" t="s">
        <v>182</v>
      </c>
      <c r="H13" s="1" t="s">
        <v>183</v>
      </c>
      <c r="I13" s="1" t="s">
        <v>184</v>
      </c>
    </row>
    <row r="14" spans="1:9" x14ac:dyDescent="0.35">
      <c r="A14" s="6" t="s">
        <v>24</v>
      </c>
      <c r="B14" s="7">
        <v>6</v>
      </c>
      <c r="C14" s="7">
        <v>3</v>
      </c>
      <c r="D14" s="6">
        <f>IF(AND(ISNUMBER(B14), ISNUMBER(C14)), B14*C14*$B$3, "")</f>
        <v>36</v>
      </c>
      <c r="E14" s="33">
        <f>IF(A14="","",VLOOKUP(A14, Base_Donnees!A:F, 6, FALSE))</f>
        <v>26</v>
      </c>
      <c r="F14" s="33">
        <f>IF(ISNUMBER(D14), D14*E14, "")</f>
        <v>936</v>
      </c>
      <c r="G14" s="6">
        <f>IF(A14="","",IF(ISNUMBER(D14), IFERROR((D14/VLOOKUP(A14, Base_Donnees!A:F, 3, FALSE))*1000, "-"), ""))</f>
        <v>1200</v>
      </c>
      <c r="H14" s="6" t="str">
        <f>IF(A14="","",VLOOKUP(A14, Base_Donnees!A:F, 4, FALSE))</f>
        <v>15 min</v>
      </c>
      <c r="I14" s="6" t="str">
        <f>IF(A14="","",VLOOKUP(A14, Base_Donnees!A:F, 5, FALSE))</f>
        <v>Sensible à l'eau froide du puits.</v>
      </c>
    </row>
    <row r="15" spans="1:9" x14ac:dyDescent="0.35">
      <c r="A15" s="6" t="s">
        <v>32</v>
      </c>
      <c r="B15" s="7">
        <v>2.5</v>
      </c>
      <c r="C15" s="7">
        <v>3</v>
      </c>
      <c r="D15" s="6">
        <f>IF(AND(ISNUMBER(B15), ISNUMBER(C15)), B15*C15*$B$3, "")</f>
        <v>15</v>
      </c>
      <c r="E15" s="33">
        <f>IF(A15="","",VLOOKUP(A15, Base_Donnees!A:F, 6, FALSE))</f>
        <v>260</v>
      </c>
      <c r="F15" s="33">
        <f>IF(ISNUMBER(D15), D15*E15, "")</f>
        <v>3900</v>
      </c>
      <c r="G15" s="6">
        <f>IF(A15="","",IF(ISNUMBER(D15), IFERROR((D15/VLOOKUP(A15, Base_Donnees!A:F, 3, FALSE))*1000, "-"), ""))</f>
        <v>214.28571428571428</v>
      </c>
      <c r="H15" s="6" t="str">
        <f>IF(A15="","",VLOOKUP(A15, Base_Donnees!A:F, 4, FALSE))</f>
        <v>8 min</v>
      </c>
      <c r="I15" s="6" t="str">
        <f>IF(A15="","",VLOOKUP(A15, Base_Donnees!A:F, 5, FALSE))</f>
        <v>Excellente source de magnésium soluble.</v>
      </c>
    </row>
    <row r="17" spans="1:9" x14ac:dyDescent="0.35">
      <c r="A17" s="66" t="s">
        <v>186</v>
      </c>
      <c r="B17" s="65"/>
      <c r="C17" s="65"/>
      <c r="D17" s="65"/>
      <c r="E17" s="65"/>
      <c r="F17" s="65"/>
      <c r="G17" s="65"/>
      <c r="H17" s="65"/>
      <c r="I17" s="65"/>
    </row>
    <row r="18" spans="1:9" x14ac:dyDescent="0.35">
      <c r="A18" s="1" t="s">
        <v>177</v>
      </c>
      <c r="B18" s="1" t="s">
        <v>178</v>
      </c>
      <c r="C18" s="1" t="s">
        <v>179</v>
      </c>
      <c r="D18" s="1" t="s">
        <v>180</v>
      </c>
      <c r="E18" s="32" t="s">
        <v>5</v>
      </c>
      <c r="F18" s="32" t="s">
        <v>181</v>
      </c>
      <c r="G18" s="1" t="s">
        <v>182</v>
      </c>
      <c r="H18" s="1" t="s">
        <v>183</v>
      </c>
      <c r="I18" s="1" t="s">
        <v>184</v>
      </c>
    </row>
    <row r="19" spans="1:9" x14ac:dyDescent="0.35">
      <c r="A19" s="6"/>
      <c r="B19" s="7"/>
      <c r="C19" s="7"/>
      <c r="D19" s="6" t="str">
        <f>IF(AND(ISNUMBER(B19), ISNUMBER(C19)), B19*C19*$B$3, "")</f>
        <v/>
      </c>
      <c r="E19" s="33" t="str">
        <f>IF(A19="","",VLOOKUP(A19, Base_Donnees!A:F, 6, FALSE))</f>
        <v/>
      </c>
      <c r="F19" s="33" t="str">
        <f>IF(ISNUMBER(D19), D19*E19, "")</f>
        <v/>
      </c>
      <c r="G19" s="6" t="str">
        <f>IF(A19="","",IF(ISNUMBER(D19), IFERROR((D19/VLOOKUP(A19, Base_Donnees!A:F, 3, FALSE))*1000, "-"), ""))</f>
        <v/>
      </c>
      <c r="H19" s="6" t="str">
        <f>IF(A19="","",VLOOKUP(A19, Base_Donnees!A:F, 4, FALSE))</f>
        <v/>
      </c>
      <c r="I19" s="6" t="str">
        <f>IF(A19="","",VLOOKUP(A19, Base_Donnees!A:F, 5, FALSE))</f>
        <v/>
      </c>
    </row>
    <row r="21" spans="1:9" x14ac:dyDescent="0.35">
      <c r="A21" s="66" t="s">
        <v>187</v>
      </c>
      <c r="B21" s="65"/>
      <c r="C21" s="65"/>
      <c r="D21" s="65"/>
      <c r="E21" s="65"/>
      <c r="F21" s="65"/>
      <c r="G21" s="65"/>
      <c r="H21" s="65"/>
      <c r="I21" s="65"/>
    </row>
    <row r="22" spans="1:9" x14ac:dyDescent="0.35">
      <c r="A22" s="1" t="s">
        <v>177</v>
      </c>
      <c r="B22" s="1" t="s">
        <v>178</v>
      </c>
      <c r="C22" s="1" t="s">
        <v>179</v>
      </c>
      <c r="D22" s="1" t="s">
        <v>180</v>
      </c>
      <c r="E22" s="32" t="s">
        <v>5</v>
      </c>
      <c r="F22" s="32" t="s">
        <v>181</v>
      </c>
      <c r="G22" s="1" t="s">
        <v>182</v>
      </c>
      <c r="H22" s="1" t="s">
        <v>183</v>
      </c>
      <c r="I22" s="1" t="s">
        <v>184</v>
      </c>
    </row>
    <row r="23" spans="1:9" x14ac:dyDescent="0.35">
      <c r="A23" s="6" t="s">
        <v>55</v>
      </c>
      <c r="B23" s="7">
        <v>2</v>
      </c>
      <c r="C23" s="7">
        <v>3</v>
      </c>
      <c r="D23" s="6">
        <f>IF(AND(ISNUMBER(B23), ISNUMBER(C23)), B23*C23*$B$3, "")</f>
        <v>12</v>
      </c>
      <c r="E23" s="33">
        <f>IF(A23="","",VLOOKUP(A23, Base_Donnees!A:F, 6, FALSE))</f>
        <v>378.15</v>
      </c>
      <c r="F23" s="33">
        <f>IF(ISNUMBER(D23), D23*E23, "")</f>
        <v>4537.7999999999993</v>
      </c>
      <c r="G23" s="6">
        <f>IF(A23="","",IF(ISNUMBER(D23), IFERROR((D23/VLOOKUP(A23, Base_Donnees!A:F, 3, FALSE))*1000, "-"), ""))</f>
        <v>2.4</v>
      </c>
      <c r="H23" s="6" t="str">
        <f>IF(A23="","",VLOOKUP(A23, Base_Donnees!A:F, 4, FALSE))</f>
        <v>1 min</v>
      </c>
      <c r="I23" s="6" t="str">
        <f>IF(A23="","",VLOOKUP(A23, Base_Donnees!A:F, 5, FALSE))</f>
        <v>CORROSIF : Gants + lunettes obligatoires.</v>
      </c>
    </row>
    <row r="25" spans="1:9" ht="16.5" x14ac:dyDescent="0.35">
      <c r="A25" s="69" t="s">
        <v>188</v>
      </c>
      <c r="B25" s="65"/>
      <c r="C25" s="65"/>
      <c r="D25" s="65"/>
      <c r="E25" s="65"/>
      <c r="F25" s="65"/>
      <c r="G25" s="65"/>
      <c r="H25" s="65"/>
      <c r="I25" s="65"/>
    </row>
    <row r="26" spans="1:9" x14ac:dyDescent="0.35">
      <c r="A26" s="66" t="s">
        <v>176</v>
      </c>
      <c r="B26" s="65"/>
      <c r="C26" s="65"/>
      <c r="D26" s="65"/>
      <c r="E26" s="65"/>
      <c r="F26" s="65"/>
      <c r="G26" s="65"/>
      <c r="H26" s="65"/>
      <c r="I26" s="65"/>
    </row>
    <row r="27" spans="1:9" x14ac:dyDescent="0.35">
      <c r="A27" s="1" t="s">
        <v>177</v>
      </c>
      <c r="B27" s="1" t="s">
        <v>178</v>
      </c>
      <c r="C27" s="1" t="s">
        <v>179</v>
      </c>
      <c r="D27" s="1" t="s">
        <v>180</v>
      </c>
      <c r="E27" s="32" t="s">
        <v>5</v>
      </c>
      <c r="F27" s="32" t="s">
        <v>181</v>
      </c>
      <c r="G27" s="1" t="s">
        <v>182</v>
      </c>
      <c r="H27" s="1" t="s">
        <v>183</v>
      </c>
      <c r="I27" s="1" t="s">
        <v>184</v>
      </c>
    </row>
    <row r="28" spans="1:9" x14ac:dyDescent="0.35">
      <c r="A28" s="6" t="s">
        <v>12</v>
      </c>
      <c r="B28" s="7">
        <v>5</v>
      </c>
      <c r="C28" s="7">
        <v>1</v>
      </c>
      <c r="D28" s="6">
        <f>IF(AND(ISNUMBER(B28), ISNUMBER(C28)), B28*C28*$B$3, "")</f>
        <v>10</v>
      </c>
      <c r="E28" s="33">
        <f>IF(A28="","",VLOOKUP(A28, Base_Donnees!A:F, 6, FALSE))</f>
        <v>160</v>
      </c>
      <c r="F28" s="33">
        <f>IF(ISNUMBER(D28), D28*E28, "")</f>
        <v>1600</v>
      </c>
      <c r="G28" s="6">
        <f>IF(A28="","",IF(ISNUMBER(D28), IFERROR((D28/VLOOKUP(A28, Base_Donnees!A:F, 3, FALSE))*1000, "-"), ""))</f>
        <v>83.333333333333329</v>
      </c>
      <c r="H28" s="6" t="str">
        <f>IF(A28="","",VLOOKUP(A28, Base_Donnees!A:F, 4, FALSE))</f>
        <v>6 min</v>
      </c>
      <c r="I28" s="6" t="str">
        <f>IF(A28="","",VLOOKUP(A28, Base_Donnees!A:F, 5, FALSE))</f>
        <v>CRITIQUE : Isoler totalement des Sulfates/Phosphates.</v>
      </c>
    </row>
    <row r="30" spans="1:9" x14ac:dyDescent="0.35">
      <c r="A30" s="66" t="s">
        <v>185</v>
      </c>
      <c r="B30" s="65"/>
      <c r="C30" s="65"/>
      <c r="D30" s="65"/>
      <c r="E30" s="65"/>
      <c r="F30" s="65"/>
      <c r="G30" s="65"/>
      <c r="H30" s="65"/>
      <c r="I30" s="65"/>
    </row>
    <row r="31" spans="1:9" x14ac:dyDescent="0.35">
      <c r="A31" s="1" t="s">
        <v>177</v>
      </c>
      <c r="B31" s="1" t="s">
        <v>178</v>
      </c>
      <c r="C31" s="1" t="s">
        <v>179</v>
      </c>
      <c r="D31" s="1" t="s">
        <v>180</v>
      </c>
      <c r="E31" s="32" t="s">
        <v>5</v>
      </c>
      <c r="F31" s="32" t="s">
        <v>181</v>
      </c>
      <c r="G31" s="1" t="s">
        <v>182</v>
      </c>
      <c r="H31" s="1" t="s">
        <v>183</v>
      </c>
      <c r="I31" s="1" t="s">
        <v>184</v>
      </c>
    </row>
    <row r="32" spans="1:9" x14ac:dyDescent="0.35">
      <c r="A32" s="6"/>
      <c r="B32" s="7"/>
      <c r="C32" s="7"/>
      <c r="D32" s="6" t="str">
        <f>IF(AND(ISNUMBER(B32), ISNUMBER(C32)), B32*C32*$B$3, "")</f>
        <v/>
      </c>
      <c r="E32" s="33" t="str">
        <f>IF(A32="","",VLOOKUP(A32, Base_Donnees!A:F, 6, FALSE))</f>
        <v/>
      </c>
      <c r="F32" s="33" t="str">
        <f>IF(ISNUMBER(D32), D32*E32, "")</f>
        <v/>
      </c>
      <c r="G32" s="6" t="str">
        <f>IF(A32="","",IF(ISNUMBER(D32), IFERROR((D32/VLOOKUP(A32, Base_Donnees!A:F, 3, FALSE))*1000, "-"), ""))</f>
        <v/>
      </c>
      <c r="H32" s="6" t="str">
        <f>IF(A32="","",VLOOKUP(A32, Base_Donnees!A:F, 4, FALSE))</f>
        <v/>
      </c>
      <c r="I32" s="6" t="str">
        <f>IF(A32="","",VLOOKUP(A32, Base_Donnees!A:F, 5, FALSE))</f>
        <v/>
      </c>
    </row>
    <row r="34" spans="1:9" x14ac:dyDescent="0.35">
      <c r="A34" s="66" t="s">
        <v>186</v>
      </c>
      <c r="B34" s="65"/>
      <c r="C34" s="65"/>
      <c r="D34" s="65"/>
      <c r="E34" s="65"/>
      <c r="F34" s="65"/>
      <c r="G34" s="65"/>
      <c r="H34" s="65"/>
      <c r="I34" s="65"/>
    </row>
    <row r="35" spans="1:9" x14ac:dyDescent="0.35">
      <c r="A35" s="1" t="s">
        <v>177</v>
      </c>
      <c r="B35" s="1" t="s">
        <v>178</v>
      </c>
      <c r="C35" s="1" t="s">
        <v>179</v>
      </c>
      <c r="D35" s="1" t="s">
        <v>180</v>
      </c>
      <c r="E35" s="32" t="s">
        <v>5</v>
      </c>
      <c r="F35" s="32" t="s">
        <v>181</v>
      </c>
      <c r="G35" s="1" t="s">
        <v>182</v>
      </c>
      <c r="H35" s="1" t="s">
        <v>183</v>
      </c>
      <c r="I35" s="1" t="s">
        <v>184</v>
      </c>
    </row>
    <row r="36" spans="1:9" x14ac:dyDescent="0.35">
      <c r="A36" s="6" t="s">
        <v>46</v>
      </c>
      <c r="B36" s="7">
        <v>0.75</v>
      </c>
      <c r="C36" s="7">
        <v>1</v>
      </c>
      <c r="D36" s="6">
        <f>IF(AND(ISNUMBER(B36), ISNUMBER(C36)), B36*C36*$B$3, "")</f>
        <v>1.5</v>
      </c>
      <c r="E36" s="33">
        <f>IF(A36="","",VLOOKUP(A36, Base_Donnees!A:F, 6, FALSE))</f>
        <v>3200</v>
      </c>
      <c r="F36" s="33">
        <f>IF(ISNUMBER(D36), D36*E36, "")</f>
        <v>4800</v>
      </c>
      <c r="G36" s="6">
        <f>IF(A36="","",IF(ISNUMBER(D36), IFERROR((D36/VLOOKUP(A36, Base_Donnees!A:F, 3, FALSE))*1000, "-"), ""))</f>
        <v>16.666666666666668</v>
      </c>
      <c r="H36" s="6" t="str">
        <f>IF(A36="","",VLOOKUP(A36, Base_Donnees!A:F, 4, FALSE))</f>
        <v>8 min</v>
      </c>
      <c r="I36" s="6" t="str">
        <f>IF(A36="","",VLOOKUP(A36, Base_Donnees!A:F, 5, FALSE))</f>
        <v>Indispensable contre la chlorose en sol calcaire.</v>
      </c>
    </row>
    <row r="37" spans="1:9" x14ac:dyDescent="0.35">
      <c r="A37" s="6" t="s">
        <v>42</v>
      </c>
      <c r="B37" s="7">
        <v>5</v>
      </c>
      <c r="C37" s="7">
        <v>1</v>
      </c>
      <c r="D37" s="6">
        <f>IF(AND(ISNUMBER(B37), ISNUMBER(C37)), B37*C37*$B$3, "")</f>
        <v>10</v>
      </c>
      <c r="E37" s="33">
        <f>IF(A37="","",VLOOKUP(A37, Base_Donnees!A:F, 6, FALSE))</f>
        <v>420</v>
      </c>
      <c r="F37" s="33">
        <f>IF(ISNUMBER(D37), D37*E37, "")</f>
        <v>4200</v>
      </c>
      <c r="G37" s="6">
        <f>IF(A37="","",IF(ISNUMBER(D37), IFERROR((D37/VLOOKUP(A37, Base_Donnees!A:F, 3, FALSE))*1000, "-"), ""))</f>
        <v>200</v>
      </c>
      <c r="H37" s="6" t="str">
        <f>IF(A37="","",VLOOKUP(A37, Base_Donnees!A:F, 4, FALSE))</f>
        <v>15 min</v>
      </c>
      <c r="I37" s="6" t="str">
        <f>IF(A37="","",VLOOKUP(A37, Base_Donnees!A:F, 5, FALSE))</f>
        <v>Améliore la structure du sol et l'assimilation.</v>
      </c>
    </row>
    <row r="39" spans="1:9" x14ac:dyDescent="0.35">
      <c r="A39" s="66" t="s">
        <v>187</v>
      </c>
      <c r="B39" s="65"/>
      <c r="C39" s="65"/>
      <c r="D39" s="65"/>
      <c r="E39" s="65"/>
      <c r="F39" s="65"/>
      <c r="G39" s="65"/>
      <c r="H39" s="65"/>
      <c r="I39" s="65"/>
    </row>
    <row r="40" spans="1:9" x14ac:dyDescent="0.35">
      <c r="A40" s="1" t="s">
        <v>177</v>
      </c>
      <c r="B40" s="1" t="s">
        <v>178</v>
      </c>
      <c r="C40" s="1" t="s">
        <v>179</v>
      </c>
      <c r="D40" s="1" t="s">
        <v>180</v>
      </c>
      <c r="E40" s="32" t="s">
        <v>5</v>
      </c>
      <c r="F40" s="32" t="s">
        <v>181</v>
      </c>
      <c r="G40" s="1" t="s">
        <v>182</v>
      </c>
      <c r="H40" s="1" t="s">
        <v>183</v>
      </c>
      <c r="I40" s="1" t="s">
        <v>184</v>
      </c>
    </row>
    <row r="41" spans="1:9" x14ac:dyDescent="0.35">
      <c r="A41" s="6" t="s">
        <v>65</v>
      </c>
      <c r="B41" s="7">
        <v>2</v>
      </c>
      <c r="C41" s="7">
        <v>1</v>
      </c>
      <c r="D41" s="6">
        <f>IF(AND(ISNUMBER(B41), ISNUMBER(C41)), B41*C41*$B$3, "")</f>
        <v>4</v>
      </c>
      <c r="E41" s="33">
        <f>IF(A41="","",VLOOKUP(A41, Base_Donnees!A:F, 6, FALSE))</f>
        <v>410.55</v>
      </c>
      <c r="F41" s="33">
        <f>IF(ISNUMBER(D41), D41*E41, "")</f>
        <v>1642.2</v>
      </c>
      <c r="G41" s="6">
        <f>IF(A41="","",IF(ISNUMBER(D41), IFERROR((D41/VLOOKUP(A41, Base_Donnees!A:F, 3, FALSE))*1000, "-"), ""))</f>
        <v>6.7796610169491522</v>
      </c>
      <c r="H41" s="6" t="str">
        <f>IF(A41="","",VLOOKUP(A41, Base_Donnees!A:F, 4, FALSE))</f>
        <v>4 min</v>
      </c>
      <c r="I41" s="6" t="str">
        <f>IF(A41="","",VLOOKUP(A41, Base_Donnees!A:F, 5, FALSE))</f>
        <v>Idéal pour chélater et nettoyer les goutteurs.</v>
      </c>
    </row>
    <row r="42" spans="1:9" x14ac:dyDescent="0.35">
      <c r="A42" s="6" t="s">
        <v>55</v>
      </c>
      <c r="B42" s="7">
        <v>1</v>
      </c>
      <c r="C42" s="7">
        <v>1</v>
      </c>
      <c r="D42" s="6">
        <f>IF(AND(ISNUMBER(B42), ISNUMBER(C42)), B42*C42*$B$3, "")</f>
        <v>2</v>
      </c>
      <c r="E42" s="33">
        <f>IF(A42="","",VLOOKUP(A42, Base_Donnees!A:F, 6, FALSE))</f>
        <v>378.15</v>
      </c>
      <c r="F42" s="33">
        <f>IF(ISNUMBER(D42), D42*E42, "")</f>
        <v>756.3</v>
      </c>
      <c r="G42" s="6">
        <f>IF(A42="","",IF(ISNUMBER(D42), IFERROR((D42/VLOOKUP(A42, Base_Donnees!A:F, 3, FALSE))*1000, "-"), ""))</f>
        <v>0.4</v>
      </c>
      <c r="H42" s="6" t="str">
        <f>IF(A42="","",VLOOKUP(A42, Base_Donnees!A:F, 4, FALSE))</f>
        <v>1 min</v>
      </c>
      <c r="I42" s="6" t="str">
        <f>IF(A42="","",VLOOKUP(A42, Base_Donnees!A:F, 5, FALSE))</f>
        <v>CORROSIF : Gants + lunettes obligatoires.</v>
      </c>
    </row>
    <row r="44" spans="1:9" x14ac:dyDescent="0.35">
      <c r="E44" s="34" t="s">
        <v>189</v>
      </c>
      <c r="F44" s="35">
        <f>SUM(F10,F14,F15,F19,F23,F28,F32,F36,F37,F41,F42)</f>
        <v>22372.3</v>
      </c>
    </row>
    <row r="46" spans="1:9" x14ac:dyDescent="0.35">
      <c r="A46" s="64" t="s">
        <v>190</v>
      </c>
      <c r="B46" s="65"/>
      <c r="C46" s="65"/>
      <c r="D46" s="65"/>
      <c r="E46" s="65"/>
      <c r="F46" s="65"/>
      <c r="G46" s="65"/>
      <c r="H46" s="65"/>
      <c r="I46" s="65"/>
    </row>
    <row r="47" spans="1:9" x14ac:dyDescent="0.35">
      <c r="A47" s="10" t="s">
        <v>191</v>
      </c>
      <c r="B47" s="10" t="s">
        <v>192</v>
      </c>
      <c r="C47" s="10" t="s">
        <v>193</v>
      </c>
      <c r="D47" s="10" t="s">
        <v>194</v>
      </c>
      <c r="E47" s="36" t="s">
        <v>5</v>
      </c>
      <c r="F47" s="36" t="s">
        <v>195</v>
      </c>
      <c r="G47" s="10" t="s">
        <v>196</v>
      </c>
      <c r="H47" s="10" t="s">
        <v>197</v>
      </c>
      <c r="I47" s="10"/>
    </row>
    <row r="48" spans="1:9" x14ac:dyDescent="0.35">
      <c r="A48" s="6" t="s">
        <v>81</v>
      </c>
      <c r="B48" s="7">
        <v>2.5</v>
      </c>
      <c r="C48" s="6">
        <f>$B$3</f>
        <v>2</v>
      </c>
      <c r="D48" s="6">
        <f>IF(ISNUMBER(B48), B48*C48, "")</f>
        <v>5</v>
      </c>
      <c r="E48" s="33">
        <f>IF(A48="","",VLOOKUP(A48, Base_Donnees!A:F, 6, FALSE))</f>
        <v>550</v>
      </c>
      <c r="F48" s="33">
        <f>IF(ISNUMBER(D48), D48*E48, "")</f>
        <v>2750</v>
      </c>
      <c r="G48" s="6" t="str">
        <f>IF(A48="","",VLOOKUP(A48, Base_Donnees!A:F, 5, FALSE))</f>
        <v>Appliquer aux stades critiques du fruit.</v>
      </c>
      <c r="H48" s="6" t="str">
        <f>IF(A48="","",VLOOKUP(A48, Base_Donnees!A:F, 4, FALSE))</f>
        <v>Fermeté fruit</v>
      </c>
      <c r="I48" s="6"/>
    </row>
    <row r="49" spans="1:9" x14ac:dyDescent="0.35">
      <c r="A49" s="6" t="s">
        <v>78</v>
      </c>
      <c r="B49" s="7">
        <v>2</v>
      </c>
      <c r="C49" s="6">
        <f>$B$3</f>
        <v>2</v>
      </c>
      <c r="D49" s="6">
        <f>IF(ISNUMBER(B49), B49*C49, "")</f>
        <v>4</v>
      </c>
      <c r="E49" s="33">
        <f>IF(A49="","",VLOOKUP(A49, Base_Donnees!A:F, 6, FALSE))</f>
        <v>2000</v>
      </c>
      <c r="F49" s="33">
        <f>IF(ISNUMBER(D49), D49*E49, "")</f>
        <v>8000</v>
      </c>
      <c r="G49" s="6" t="str">
        <f>IF(A49="","",VLOOKUP(A49, Base_Donnees!A:F, 5, FALSE))</f>
        <v>Soutien de la vigueur foliaire et division.</v>
      </c>
      <c r="H49" s="6" t="str">
        <f>IF(A49="","",VLOOKUP(A49, Base_Donnees!A:F, 4, FALSE))</f>
        <v>Extrait d'algues</v>
      </c>
      <c r="I49" s="6"/>
    </row>
    <row r="50" spans="1:9" x14ac:dyDescent="0.35">
      <c r="A50" s="6" t="s">
        <v>37</v>
      </c>
      <c r="B50" s="7">
        <v>1.5</v>
      </c>
      <c r="C50" s="6">
        <f>$B$3</f>
        <v>2</v>
      </c>
      <c r="D50" s="6">
        <f>IF(ISNUMBER(B50), B50*C50, "")</f>
        <v>3</v>
      </c>
      <c r="E50" s="33">
        <f>IF(A50="","",VLOOKUP(A50, Base_Donnees!A:F, 6, FALSE))</f>
        <v>3450</v>
      </c>
      <c r="F50" s="33">
        <f>IF(ISNUMBER(D50), D50*E50, "")</f>
        <v>10350</v>
      </c>
      <c r="G50" s="6" t="str">
        <f>IF(A50="","",VLOOKUP(A50, Base_Donnees!A:F, 5, FALSE))</f>
        <v>Mélange complet d'oligo-éléments chélatés.</v>
      </c>
      <c r="H50" s="6" t="str">
        <f>IF(A50="","",VLOOKUP(A50, Base_Donnees!A:F, 4, FALSE))</f>
        <v>10 min</v>
      </c>
      <c r="I50" s="6"/>
    </row>
    <row r="51" spans="1:9" x14ac:dyDescent="0.35">
      <c r="E51" s="34" t="s">
        <v>198</v>
      </c>
      <c r="F51" s="37">
        <f>SUM(F48,F49,F50)</f>
        <v>21100</v>
      </c>
    </row>
    <row r="53" spans="1:9" x14ac:dyDescent="0.35">
      <c r="A53" s="64" t="s">
        <v>199</v>
      </c>
      <c r="B53" s="65"/>
      <c r="C53" s="65"/>
      <c r="D53" s="65"/>
      <c r="E53" s="65"/>
      <c r="F53" s="65"/>
      <c r="G53" s="65"/>
      <c r="H53" s="65"/>
      <c r="I53" s="65"/>
    </row>
    <row r="54" spans="1:9" x14ac:dyDescent="0.35">
      <c r="A54" s="12" t="s">
        <v>200</v>
      </c>
      <c r="B54" s="12" t="s">
        <v>201</v>
      </c>
      <c r="C54" s="12" t="s">
        <v>193</v>
      </c>
      <c r="D54" s="12" t="s">
        <v>194</v>
      </c>
      <c r="E54" s="38" t="s">
        <v>5</v>
      </c>
      <c r="F54" s="38" t="s">
        <v>195</v>
      </c>
      <c r="G54" s="12" t="s">
        <v>202</v>
      </c>
      <c r="H54" s="12" t="s">
        <v>203</v>
      </c>
      <c r="I54" s="12" t="s">
        <v>204</v>
      </c>
    </row>
    <row r="55" spans="1:9" x14ac:dyDescent="0.35">
      <c r="A55" s="6" t="s">
        <v>215</v>
      </c>
      <c r="B55" s="7">
        <v>0.5</v>
      </c>
      <c r="C55" s="6">
        <f>$B$3</f>
        <v>2</v>
      </c>
      <c r="D55" s="6">
        <f>IF(ISNUMBER(B55), B55*C55, "")</f>
        <v>1</v>
      </c>
      <c r="E55" s="33">
        <v>1</v>
      </c>
      <c r="F55" s="33">
        <f>IF(ISNUMBER(D55), D55*E55, "")</f>
        <v>1</v>
      </c>
      <c r="G55" s="6" t="e">
        <f>IF(A55="","",VLOOKUP(A55, Base_Donnees!A:F, 3, FALSE))</f>
        <v>#N/A</v>
      </c>
      <c r="H55" s="6" t="e">
        <f>IF(A55="","",VLOOKUP(A55, Base_Donnees!A:F, 4, FALSE))</f>
        <v>#N/A</v>
      </c>
      <c r="I55" s="6" t="e">
        <f>IF(A55="","",VLOOKUP(A55, Base_Donnees!A:F, 5, FALSE))</f>
        <v>#N/A</v>
      </c>
    </row>
    <row r="56" spans="1:9" x14ac:dyDescent="0.35">
      <c r="A56" s="6"/>
      <c r="B56" s="7"/>
      <c r="C56" s="6">
        <f>$B$3</f>
        <v>2</v>
      </c>
      <c r="D56" s="6" t="str">
        <f>IF(ISNUMBER(B56), B56*C56, "")</f>
        <v/>
      </c>
      <c r="E56" s="33" t="str">
        <f>IF(A56="","",VLOOKUP(A56, Base_Donnees!A:F, 6, FALSE))</f>
        <v/>
      </c>
      <c r="F56" s="33" t="str">
        <f>IF(ISNUMBER(D56), D56*E56, "")</f>
        <v/>
      </c>
      <c r="G56" s="6" t="str">
        <f>IF(A56="","",VLOOKUP(A56, Base_Donnees!A:F, 3, FALSE))</f>
        <v/>
      </c>
      <c r="H56" s="6" t="str">
        <f>IF(A56="","",VLOOKUP(A56, Base_Donnees!A:F, 4, FALSE))</f>
        <v/>
      </c>
      <c r="I56" s="6" t="str">
        <f>IF(A56="","",VLOOKUP(A56, Base_Donnees!A:F, 5, FALSE))</f>
        <v/>
      </c>
    </row>
    <row r="57" spans="1:9" x14ac:dyDescent="0.35">
      <c r="A57" s="6"/>
      <c r="B57" s="7"/>
      <c r="C57" s="6">
        <f>$B$3</f>
        <v>2</v>
      </c>
      <c r="D57" s="6" t="str">
        <f>IF(ISNUMBER(B57), B57*C57, "")</f>
        <v/>
      </c>
      <c r="E57" s="33" t="str">
        <f>IF(A57="","",VLOOKUP(A57, Base_Donnees!A:F, 6, FALSE))</f>
        <v/>
      </c>
      <c r="F57" s="33" t="str">
        <f>IF(ISNUMBER(D57), D57*E57, "")</f>
        <v/>
      </c>
      <c r="G57" s="6" t="str">
        <f>IF(A57="","",VLOOKUP(A57, Base_Donnees!A:F, 3, FALSE))</f>
        <v/>
      </c>
      <c r="H57" s="6" t="str">
        <f>IF(A57="","",VLOOKUP(A57, Base_Donnees!A:F, 4, FALSE))</f>
        <v/>
      </c>
      <c r="I57" s="6" t="str">
        <f>IF(A57="","",VLOOKUP(A57, Base_Donnees!A:F, 5, FALSE))</f>
        <v/>
      </c>
    </row>
    <row r="58" spans="1:9" x14ac:dyDescent="0.35">
      <c r="E58" s="34" t="s">
        <v>205</v>
      </c>
      <c r="F58" s="37">
        <f>SUM(F55,F56,F57)</f>
        <v>1</v>
      </c>
    </row>
  </sheetData>
  <mergeCells count="13">
    <mergeCell ref="A7:I7"/>
    <mergeCell ref="A25:I25"/>
    <mergeCell ref="A46:I46"/>
    <mergeCell ref="A1:I1"/>
    <mergeCell ref="A17:I17"/>
    <mergeCell ref="A8:I8"/>
    <mergeCell ref="A30:I30"/>
    <mergeCell ref="A53:I53"/>
    <mergeCell ref="A39:I39"/>
    <mergeCell ref="A34:I34"/>
    <mergeCell ref="A12:I12"/>
    <mergeCell ref="A26:I26"/>
    <mergeCell ref="A21:I2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8"/>
  <sheetViews>
    <sheetView topLeftCell="A25" workbookViewId="0">
      <selection activeCell="C58" sqref="C58"/>
    </sheetView>
  </sheetViews>
  <sheetFormatPr baseColWidth="10" defaultColWidth="8.7265625" defaultRowHeight="14.5" x14ac:dyDescent="0.35"/>
  <cols>
    <col min="1" max="1" width="42" customWidth="1"/>
    <col min="2" max="3" width="15" customWidth="1"/>
    <col min="4" max="5" width="20" customWidth="1"/>
    <col min="6" max="6" width="20" style="21" customWidth="1"/>
    <col min="7" max="7" width="15" customWidth="1"/>
    <col min="8" max="8" width="20" customWidth="1"/>
    <col min="9" max="9" width="45" customWidth="1"/>
  </cols>
  <sheetData>
    <row r="1" spans="1:9" ht="19" x14ac:dyDescent="0.35">
      <c r="A1" s="68" t="s">
        <v>216</v>
      </c>
      <c r="B1" s="65"/>
      <c r="C1" s="65"/>
      <c r="D1" s="65"/>
      <c r="E1" s="65"/>
      <c r="F1" s="65"/>
      <c r="G1" s="65"/>
      <c r="H1" s="65"/>
      <c r="I1" s="65"/>
    </row>
    <row r="3" spans="1:9" x14ac:dyDescent="0.35">
      <c r="A3" t="s">
        <v>170</v>
      </c>
      <c r="B3" s="4">
        <v>8</v>
      </c>
    </row>
    <row r="4" spans="1:9" x14ac:dyDescent="0.35">
      <c r="A4" t="s">
        <v>171</v>
      </c>
      <c r="B4" s="4" t="s">
        <v>213</v>
      </c>
    </row>
    <row r="5" spans="1:9" x14ac:dyDescent="0.35">
      <c r="A5" t="s">
        <v>173</v>
      </c>
      <c r="B5" s="28" t="s">
        <v>223</v>
      </c>
    </row>
    <row r="7" spans="1:9" ht="16.5" x14ac:dyDescent="0.35">
      <c r="A7" s="67" t="s">
        <v>175</v>
      </c>
      <c r="B7" s="65"/>
      <c r="C7" s="65"/>
      <c r="D7" s="65"/>
      <c r="E7" s="65"/>
      <c r="F7" s="65"/>
      <c r="G7" s="65"/>
      <c r="H7" s="65"/>
      <c r="I7" s="65"/>
    </row>
    <row r="8" spans="1:9" x14ac:dyDescent="0.35">
      <c r="A8" s="66" t="s">
        <v>176</v>
      </c>
      <c r="B8" s="65"/>
      <c r="C8" s="65"/>
      <c r="D8" s="65"/>
      <c r="E8" s="65"/>
      <c r="F8" s="65"/>
      <c r="G8" s="65"/>
      <c r="H8" s="65"/>
      <c r="I8" s="65"/>
    </row>
    <row r="9" spans="1:9" x14ac:dyDescent="0.35">
      <c r="A9" s="1" t="s">
        <v>177</v>
      </c>
      <c r="B9" s="1" t="s">
        <v>178</v>
      </c>
      <c r="C9" s="1" t="s">
        <v>179</v>
      </c>
      <c r="D9" s="1" t="s">
        <v>180</v>
      </c>
      <c r="E9" s="1" t="s">
        <v>5</v>
      </c>
      <c r="F9" s="32" t="s">
        <v>181</v>
      </c>
      <c r="G9" s="1" t="s">
        <v>182</v>
      </c>
      <c r="H9" s="1" t="s">
        <v>183</v>
      </c>
      <c r="I9" s="1" t="s">
        <v>184</v>
      </c>
    </row>
    <row r="10" spans="1:9" x14ac:dyDescent="0.35">
      <c r="A10" s="6"/>
      <c r="B10" s="7"/>
      <c r="C10" s="7"/>
      <c r="D10" s="6" t="str">
        <f>IF(AND(ISNUMBER(B10), ISNUMBER(C10)), B10*C10*$B$3, "")</f>
        <v/>
      </c>
      <c r="E10" s="6" t="str">
        <f>IF(A10="","",VLOOKUP(A10, Base_Donnees!A:F, 6, FALSE))</f>
        <v/>
      </c>
      <c r="F10" s="33" t="str">
        <f>IF(ISNUMBER(D10), D10*E10, "")</f>
        <v/>
      </c>
      <c r="G10" s="6" t="str">
        <f>IF(A10="","",IF(ISNUMBER(D10), IFERROR((D10/VLOOKUP(A10, Base_Donnees!A:F, 3, FALSE))*1000, "-"), ""))</f>
        <v/>
      </c>
      <c r="H10" s="6" t="str">
        <f>IF(A10="","",VLOOKUP(A10, Base_Donnees!A:F, 4, FALSE))</f>
        <v/>
      </c>
      <c r="I10" s="6" t="str">
        <f>IF(A10="","",VLOOKUP(A10, Base_Donnees!A:F, 5, FALSE))</f>
        <v/>
      </c>
    </row>
    <row r="12" spans="1:9" x14ac:dyDescent="0.35">
      <c r="A12" s="66" t="s">
        <v>185</v>
      </c>
      <c r="B12" s="65"/>
      <c r="C12" s="65"/>
      <c r="D12" s="65"/>
      <c r="E12" s="65"/>
      <c r="F12" s="65"/>
      <c r="G12" s="65"/>
      <c r="H12" s="65"/>
      <c r="I12" s="65"/>
    </row>
    <row r="13" spans="1:9" x14ac:dyDescent="0.35">
      <c r="A13" s="1" t="s">
        <v>177</v>
      </c>
      <c r="B13" s="1" t="s">
        <v>178</v>
      </c>
      <c r="C13" s="1" t="s">
        <v>179</v>
      </c>
      <c r="D13" s="1" t="s">
        <v>180</v>
      </c>
      <c r="E13" s="1" t="s">
        <v>5</v>
      </c>
      <c r="F13" s="32" t="s">
        <v>181</v>
      </c>
      <c r="G13" s="1" t="s">
        <v>182</v>
      </c>
      <c r="H13" s="1" t="s">
        <v>183</v>
      </c>
      <c r="I13" s="1" t="s">
        <v>184</v>
      </c>
    </row>
    <row r="14" spans="1:9" x14ac:dyDescent="0.35">
      <c r="A14" s="6" t="s">
        <v>24</v>
      </c>
      <c r="B14" s="7">
        <v>7</v>
      </c>
      <c r="C14" s="7">
        <v>3</v>
      </c>
      <c r="D14" s="6">
        <f>IF(AND(ISNUMBER(B14), ISNUMBER(C14)), B14*C14*$B$3, "")</f>
        <v>168</v>
      </c>
      <c r="E14" s="6">
        <f>IF(A14="","",VLOOKUP(A14, Base_Donnees!A:F, 6, FALSE))</f>
        <v>26</v>
      </c>
      <c r="F14" s="33">
        <f>IF(ISNUMBER(D14), D14*E14, "")</f>
        <v>4368</v>
      </c>
      <c r="G14" s="6">
        <f>IF(A14="","",IF(ISNUMBER(D14), IFERROR((D14/VLOOKUP(A14, Base_Donnees!A:F, 3, FALSE))*1000, "-"), ""))</f>
        <v>5600</v>
      </c>
      <c r="H14" s="6" t="str">
        <f>IF(A14="","",VLOOKUP(A14, Base_Donnees!A:F, 4, FALSE))</f>
        <v>15 min</v>
      </c>
      <c r="I14" s="6" t="str">
        <f>IF(A14="","",VLOOKUP(A14, Base_Donnees!A:F, 5, FALSE))</f>
        <v>Sensible à l'eau froide du puits.</v>
      </c>
    </row>
    <row r="15" spans="1:9" x14ac:dyDescent="0.35">
      <c r="A15" s="6" t="s">
        <v>32</v>
      </c>
      <c r="B15" s="7">
        <v>2.5</v>
      </c>
      <c r="C15" s="7">
        <v>3</v>
      </c>
      <c r="D15" s="6">
        <f>IF(AND(ISNUMBER(B15), ISNUMBER(C15)), B15*C15*$B$3, "")</f>
        <v>60</v>
      </c>
      <c r="E15" s="6">
        <f>IF(A15="","",VLOOKUP(A15, Base_Donnees!A:F, 6, FALSE))</f>
        <v>260</v>
      </c>
      <c r="F15" s="33">
        <f>IF(ISNUMBER(D15), D15*E15, "")</f>
        <v>15600</v>
      </c>
      <c r="G15" s="6">
        <f>IF(A15="","",IF(ISNUMBER(D15), IFERROR((D15/VLOOKUP(A15, Base_Donnees!A:F, 3, FALSE))*1000, "-"), ""))</f>
        <v>857.14285714285711</v>
      </c>
      <c r="H15" s="6" t="str">
        <f>IF(A15="","",VLOOKUP(A15, Base_Donnees!A:F, 4, FALSE))</f>
        <v>8 min</v>
      </c>
      <c r="I15" s="6" t="str">
        <f>IF(A15="","",VLOOKUP(A15, Base_Donnees!A:F, 5, FALSE))</f>
        <v>Excellente source de magnésium soluble.</v>
      </c>
    </row>
    <row r="17" spans="1:9" x14ac:dyDescent="0.35">
      <c r="A17" s="66" t="s">
        <v>186</v>
      </c>
      <c r="B17" s="65"/>
      <c r="C17" s="65"/>
      <c r="D17" s="65"/>
      <c r="E17" s="65"/>
      <c r="F17" s="65"/>
      <c r="G17" s="65"/>
      <c r="H17" s="65"/>
      <c r="I17" s="65"/>
    </row>
    <row r="18" spans="1:9" x14ac:dyDescent="0.35">
      <c r="A18" s="1" t="s">
        <v>177</v>
      </c>
      <c r="B18" s="1" t="s">
        <v>178</v>
      </c>
      <c r="C18" s="1" t="s">
        <v>179</v>
      </c>
      <c r="D18" s="1" t="s">
        <v>180</v>
      </c>
      <c r="E18" s="1" t="s">
        <v>5</v>
      </c>
      <c r="F18" s="32" t="s">
        <v>181</v>
      </c>
      <c r="G18" s="1" t="s">
        <v>182</v>
      </c>
      <c r="H18" s="1" t="s">
        <v>183</v>
      </c>
      <c r="I18" s="1" t="s">
        <v>184</v>
      </c>
    </row>
    <row r="19" spans="1:9" x14ac:dyDescent="0.35">
      <c r="A19" s="6"/>
      <c r="B19" s="7"/>
      <c r="C19" s="7"/>
      <c r="D19" s="6" t="str">
        <f>IF(AND(ISNUMBER(B19), ISNUMBER(C19)), B19*C19*$B$3, "")</f>
        <v/>
      </c>
      <c r="E19" s="6" t="str">
        <f>IF(A19="","",VLOOKUP(A19, Base_Donnees!A:F, 6, FALSE))</f>
        <v/>
      </c>
      <c r="F19" s="33" t="str">
        <f>IF(ISNUMBER(D19), D19*E19, "")</f>
        <v/>
      </c>
      <c r="G19" s="6" t="str">
        <f>IF(A19="","",IF(ISNUMBER(D19), IFERROR((D19/VLOOKUP(A19, Base_Donnees!A:F, 3, FALSE))*1000, "-"), ""))</f>
        <v/>
      </c>
      <c r="H19" s="6" t="str">
        <f>IF(A19="","",VLOOKUP(A19, Base_Donnees!A:F, 4, FALSE))</f>
        <v/>
      </c>
      <c r="I19" s="6" t="str">
        <f>IF(A19="","",VLOOKUP(A19, Base_Donnees!A:F, 5, FALSE))</f>
        <v/>
      </c>
    </row>
    <row r="21" spans="1:9" x14ac:dyDescent="0.35">
      <c r="A21" s="66" t="s">
        <v>187</v>
      </c>
      <c r="B21" s="65"/>
      <c r="C21" s="65"/>
      <c r="D21" s="65"/>
      <c r="E21" s="65"/>
      <c r="F21" s="65"/>
      <c r="G21" s="65"/>
      <c r="H21" s="65"/>
      <c r="I21" s="65"/>
    </row>
    <row r="22" spans="1:9" x14ac:dyDescent="0.35">
      <c r="A22" s="1" t="s">
        <v>177</v>
      </c>
      <c r="B22" s="1" t="s">
        <v>178</v>
      </c>
      <c r="C22" s="1" t="s">
        <v>179</v>
      </c>
      <c r="D22" s="1" t="s">
        <v>180</v>
      </c>
      <c r="E22" s="1" t="s">
        <v>5</v>
      </c>
      <c r="F22" s="32" t="s">
        <v>181</v>
      </c>
      <c r="G22" s="1" t="s">
        <v>182</v>
      </c>
      <c r="H22" s="1" t="s">
        <v>183</v>
      </c>
      <c r="I22" s="1" t="s">
        <v>184</v>
      </c>
    </row>
    <row r="23" spans="1:9" x14ac:dyDescent="0.35">
      <c r="A23" s="6" t="s">
        <v>63</v>
      </c>
      <c r="B23" s="7">
        <v>1</v>
      </c>
      <c r="C23" s="7">
        <v>3</v>
      </c>
      <c r="D23" s="6">
        <f>IF(AND(ISNUMBER(B23), ISNUMBER(C23)), B23*C23*$B$3, "")</f>
        <v>24</v>
      </c>
      <c r="E23" s="6">
        <f>IF(A23="","",VLOOKUP(A23, Base_Donnees!A:F, 6, FALSE))</f>
        <v>500</v>
      </c>
      <c r="F23" s="33">
        <f>IF(ISNUMBER(D23), D23*E23, "")</f>
        <v>12000</v>
      </c>
      <c r="G23" s="6">
        <f>IF(A23="","",IF(ISNUMBER(D23), IFERROR((D23/VLOOKUP(A23, Base_Donnees!A:F, 3, FALSE))*1000, "-"), ""))</f>
        <v>4.8</v>
      </c>
      <c r="H23" s="6" t="str">
        <f>IF(A23="","",VLOOKUP(A23, Base_Donnees!A:F, 4, FALSE))</f>
        <v>1 min</v>
      </c>
      <c r="I23" s="6" t="str">
        <f>IF(A23="","",VLOOKUP(A23, Base_Donnees!A:F, 5, FALSE))</f>
        <v>Sécurité : Toujours verser l'acide dans l'eau.</v>
      </c>
    </row>
    <row r="24" spans="1:9" x14ac:dyDescent="0.35">
      <c r="A24" s="6" t="s">
        <v>55</v>
      </c>
      <c r="B24" s="7">
        <v>1</v>
      </c>
      <c r="C24" s="7">
        <v>3</v>
      </c>
      <c r="D24" s="6">
        <f>IF(AND(ISNUMBER(B24), ISNUMBER(C24)), B24*C24*$B$3, "")</f>
        <v>24</v>
      </c>
      <c r="E24" s="6">
        <f>IF(A24="","",VLOOKUP(A24, Base_Donnees!A:F, 6, FALSE))</f>
        <v>378.15</v>
      </c>
      <c r="F24" s="33">
        <f>IF(ISNUMBER(D24), D24*E24, "")</f>
        <v>9075.5999999999985</v>
      </c>
      <c r="G24" s="6">
        <f>IF(A24="","",IF(ISNUMBER(D24), IFERROR((D24/VLOOKUP(A24, Base_Donnees!A:F, 3, FALSE))*1000, "-"), ""))</f>
        <v>4.8</v>
      </c>
      <c r="H24" s="6" t="str">
        <f>IF(A24="","",VLOOKUP(A24, Base_Donnees!A:F, 4, FALSE))</f>
        <v>1 min</v>
      </c>
      <c r="I24" s="6" t="str">
        <f>IF(A24="","",VLOOKUP(A24, Base_Donnees!A:F, 5, FALSE))</f>
        <v>CORROSIF : Gants + lunettes obligatoires.</v>
      </c>
    </row>
    <row r="26" spans="1:9" ht="16.5" x14ac:dyDescent="0.35">
      <c r="A26" s="69" t="s">
        <v>188</v>
      </c>
      <c r="B26" s="65"/>
      <c r="C26" s="65"/>
      <c r="D26" s="65"/>
      <c r="E26" s="65"/>
      <c r="F26" s="65"/>
      <c r="G26" s="65"/>
      <c r="H26" s="65"/>
      <c r="I26" s="65"/>
    </row>
    <row r="27" spans="1:9" x14ac:dyDescent="0.35">
      <c r="A27" s="66" t="s">
        <v>176</v>
      </c>
      <c r="B27" s="65"/>
      <c r="C27" s="65"/>
      <c r="D27" s="65"/>
      <c r="E27" s="65"/>
      <c r="F27" s="65"/>
      <c r="G27" s="65"/>
      <c r="H27" s="65"/>
      <c r="I27" s="65"/>
    </row>
    <row r="28" spans="1:9" x14ac:dyDescent="0.35">
      <c r="A28" s="1" t="s">
        <v>177</v>
      </c>
      <c r="B28" s="1" t="s">
        <v>178</v>
      </c>
      <c r="C28" s="1" t="s">
        <v>179</v>
      </c>
      <c r="D28" s="1" t="s">
        <v>180</v>
      </c>
      <c r="E28" s="1" t="s">
        <v>5</v>
      </c>
      <c r="F28" s="32" t="s">
        <v>181</v>
      </c>
      <c r="G28" s="1" t="s">
        <v>182</v>
      </c>
      <c r="H28" s="1" t="s">
        <v>183</v>
      </c>
      <c r="I28" s="1" t="s">
        <v>184</v>
      </c>
    </row>
    <row r="29" spans="1:9" x14ac:dyDescent="0.35">
      <c r="A29" s="6" t="s">
        <v>12</v>
      </c>
      <c r="B29" s="7">
        <v>3.5</v>
      </c>
      <c r="C29" s="7">
        <v>1</v>
      </c>
      <c r="D29" s="6">
        <f>IF(AND(ISNUMBER(B29), ISNUMBER(C29)), B29*C29*$B$3, "")</f>
        <v>28</v>
      </c>
      <c r="E29" s="6">
        <f>IF(A29="","",VLOOKUP(A29, Base_Donnees!A:F, 6, FALSE))</f>
        <v>160</v>
      </c>
      <c r="F29" s="33">
        <f>IF(ISNUMBER(D29), D29*E29, "")</f>
        <v>4480</v>
      </c>
      <c r="G29" s="6">
        <f>IF(A29="","",IF(ISNUMBER(D29), IFERROR((D29/VLOOKUP(A29, Base_Donnees!A:F, 3, FALSE))*1000, "-"), ""))</f>
        <v>233.33333333333334</v>
      </c>
      <c r="H29" s="6" t="str">
        <f>IF(A29="","",VLOOKUP(A29, Base_Donnees!A:F, 4, FALSE))</f>
        <v>6 min</v>
      </c>
      <c r="I29" s="6" t="str">
        <f>IF(A29="","",VLOOKUP(A29, Base_Donnees!A:F, 5, FALSE))</f>
        <v>CRITIQUE : Isoler totalement des Sulfates/Phosphates.</v>
      </c>
    </row>
    <row r="31" spans="1:9" x14ac:dyDescent="0.35">
      <c r="A31" s="66" t="s">
        <v>185</v>
      </c>
      <c r="B31" s="65"/>
      <c r="C31" s="65"/>
      <c r="D31" s="65"/>
      <c r="E31" s="65"/>
      <c r="F31" s="65"/>
      <c r="G31" s="65"/>
      <c r="H31" s="65"/>
      <c r="I31" s="65"/>
    </row>
    <row r="32" spans="1:9" x14ac:dyDescent="0.35">
      <c r="A32" s="1" t="s">
        <v>177</v>
      </c>
      <c r="B32" s="1" t="s">
        <v>178</v>
      </c>
      <c r="C32" s="1" t="s">
        <v>179</v>
      </c>
      <c r="D32" s="1" t="s">
        <v>180</v>
      </c>
      <c r="E32" s="1" t="s">
        <v>5</v>
      </c>
      <c r="F32" s="32" t="s">
        <v>181</v>
      </c>
      <c r="G32" s="1" t="s">
        <v>182</v>
      </c>
      <c r="H32" s="1" t="s">
        <v>183</v>
      </c>
      <c r="I32" s="1" t="s">
        <v>184</v>
      </c>
    </row>
    <row r="33" spans="1:9" x14ac:dyDescent="0.35">
      <c r="A33" s="6"/>
      <c r="B33" s="7"/>
      <c r="C33" s="7"/>
      <c r="D33" s="6" t="str">
        <f>IF(AND(ISNUMBER(B33), ISNUMBER(C33)), B33*C33*$B$3, "")</f>
        <v/>
      </c>
      <c r="E33" s="6" t="str">
        <f>IF(A33="","",VLOOKUP(A33, Base_Donnees!A:F, 6, FALSE))</f>
        <v/>
      </c>
      <c r="F33" s="33" t="str">
        <f>IF(ISNUMBER(D33), D33*E33, "")</f>
        <v/>
      </c>
      <c r="G33" s="6" t="str">
        <f>IF(A33="","",IF(ISNUMBER(D33), IFERROR((D33/VLOOKUP(A33, Base_Donnees!A:F, 3, FALSE))*1000, "-"), ""))</f>
        <v/>
      </c>
      <c r="H33" s="6" t="str">
        <f>IF(A33="","",VLOOKUP(A33, Base_Donnees!A:F, 4, FALSE))</f>
        <v/>
      </c>
      <c r="I33" s="6" t="str">
        <f>IF(A33="","",VLOOKUP(A33, Base_Donnees!A:F, 5, FALSE))</f>
        <v/>
      </c>
    </row>
    <row r="35" spans="1:9" x14ac:dyDescent="0.35">
      <c r="A35" s="66" t="s">
        <v>186</v>
      </c>
      <c r="B35" s="65"/>
      <c r="C35" s="65"/>
      <c r="D35" s="65"/>
      <c r="E35" s="65"/>
      <c r="F35" s="65"/>
      <c r="G35" s="65"/>
      <c r="H35" s="65"/>
      <c r="I35" s="65"/>
    </row>
    <row r="36" spans="1:9" x14ac:dyDescent="0.35">
      <c r="A36" s="1" t="s">
        <v>177</v>
      </c>
      <c r="B36" s="1" t="s">
        <v>178</v>
      </c>
      <c r="C36" s="1" t="s">
        <v>179</v>
      </c>
      <c r="D36" s="1" t="s">
        <v>180</v>
      </c>
      <c r="E36" s="1" t="s">
        <v>5</v>
      </c>
      <c r="F36" s="32" t="s">
        <v>181</v>
      </c>
      <c r="G36" s="1" t="s">
        <v>182</v>
      </c>
      <c r="H36" s="1" t="s">
        <v>183</v>
      </c>
      <c r="I36" s="1" t="s">
        <v>184</v>
      </c>
    </row>
    <row r="37" spans="1:9" x14ac:dyDescent="0.35">
      <c r="A37" s="6"/>
      <c r="B37" s="7"/>
      <c r="C37" s="7"/>
      <c r="D37" s="6" t="str">
        <f>IF(AND(ISNUMBER(B37), ISNUMBER(C37)), B37*C37*$B$3, "")</f>
        <v/>
      </c>
      <c r="E37" s="6" t="str">
        <f>IF(A37="","",VLOOKUP(A37, Base_Donnees!A:F, 6, FALSE))</f>
        <v/>
      </c>
      <c r="F37" s="33" t="str">
        <f>IF(ISNUMBER(D37), D37*E37, "")</f>
        <v/>
      </c>
      <c r="G37" s="6" t="str">
        <f>IF(A37="","",IF(ISNUMBER(D37), IFERROR((D37/VLOOKUP(A37, Base_Donnees!A:F, 3, FALSE))*1000, "-"), ""))</f>
        <v/>
      </c>
      <c r="H37" s="6" t="str">
        <f>IF(A37="","",VLOOKUP(A37, Base_Donnees!A:F, 4, FALSE))</f>
        <v/>
      </c>
      <c r="I37" s="6" t="str">
        <f>IF(A37="","",VLOOKUP(A37, Base_Donnees!A:F, 5, FALSE))</f>
        <v/>
      </c>
    </row>
    <row r="39" spans="1:9" x14ac:dyDescent="0.35">
      <c r="A39" s="66" t="s">
        <v>187</v>
      </c>
      <c r="B39" s="65"/>
      <c r="C39" s="65"/>
      <c r="D39" s="65"/>
      <c r="E39" s="65"/>
      <c r="F39" s="65"/>
      <c r="G39" s="65"/>
      <c r="H39" s="65"/>
      <c r="I39" s="65"/>
    </row>
    <row r="40" spans="1:9" x14ac:dyDescent="0.35">
      <c r="A40" s="1" t="s">
        <v>177</v>
      </c>
      <c r="B40" s="1" t="s">
        <v>178</v>
      </c>
      <c r="C40" s="1" t="s">
        <v>179</v>
      </c>
      <c r="D40" s="1" t="s">
        <v>180</v>
      </c>
      <c r="E40" s="1" t="s">
        <v>5</v>
      </c>
      <c r="F40" s="32" t="s">
        <v>181</v>
      </c>
      <c r="G40" s="1" t="s">
        <v>182</v>
      </c>
      <c r="H40" s="1" t="s">
        <v>183</v>
      </c>
      <c r="I40" s="1" t="s">
        <v>184</v>
      </c>
    </row>
    <row r="41" spans="1:9" x14ac:dyDescent="0.35">
      <c r="A41" s="6" t="s">
        <v>65</v>
      </c>
      <c r="B41" s="7">
        <v>2</v>
      </c>
      <c r="C41" s="7">
        <v>1</v>
      </c>
      <c r="D41" s="6">
        <f>IF(AND(ISNUMBER(B41), ISNUMBER(C41)), B41*C41*$B$3, "")</f>
        <v>16</v>
      </c>
      <c r="E41" s="6">
        <f>IF(A41="","",VLOOKUP(A41, Base_Donnees!A:F, 6, FALSE))</f>
        <v>410.55</v>
      </c>
      <c r="F41" s="33">
        <f>IF(ISNUMBER(D41), D41*E41, "")</f>
        <v>6568.8</v>
      </c>
      <c r="G41" s="6">
        <f>IF(A41="","",IF(ISNUMBER(D41), IFERROR((D41/VLOOKUP(A41, Base_Donnees!A:F, 3, FALSE))*1000, "-"), ""))</f>
        <v>27.118644067796609</v>
      </c>
      <c r="H41" s="6" t="str">
        <f>IF(A41="","",VLOOKUP(A41, Base_Donnees!A:F, 4, FALSE))</f>
        <v>4 min</v>
      </c>
      <c r="I41" s="6" t="str">
        <f>IF(A41="","",VLOOKUP(A41, Base_Donnees!A:F, 5, FALSE))</f>
        <v>Idéal pour chélater et nettoyer les goutteurs.</v>
      </c>
    </row>
    <row r="42" spans="1:9" x14ac:dyDescent="0.35">
      <c r="A42" s="6" t="s">
        <v>69</v>
      </c>
      <c r="B42" s="7">
        <v>1</v>
      </c>
      <c r="C42" s="7">
        <v>1</v>
      </c>
      <c r="D42" s="6">
        <f>IF(AND(ISNUMBER(B42), ISNUMBER(C42)), B42*C42*$B$3, "")</f>
        <v>8</v>
      </c>
      <c r="E42" s="6">
        <f>IF(A42="","",VLOOKUP(A42, Base_Donnees!A:F, 6, FALSE))</f>
        <v>3000</v>
      </c>
      <c r="F42" s="33">
        <f>IF(ISNUMBER(D42), D42*E42, "")</f>
        <v>24000</v>
      </c>
      <c r="G42" s="6">
        <f>IF(A42="","",IF(ISNUMBER(D42), IFERROR((D42/VLOOKUP(A42, Base_Donnees!A:F, 3, FALSE))*1000, "-"), ""))</f>
        <v>24.242424242424242</v>
      </c>
      <c r="H42" s="6" t="str">
        <f>IF(A42="","",VLOOKUP(A42, Base_Donnees!A:F, 4, FALSE))</f>
        <v>5 min</v>
      </c>
      <c r="I42" s="6" t="str">
        <f>IF(A42="","",VLOOKUP(A42, Base_Donnees!A:F, 5, FALSE))</f>
        <v>Soutient la plante contre le stress thermique saharien.</v>
      </c>
    </row>
    <row r="44" spans="1:9" x14ac:dyDescent="0.35">
      <c r="E44" s="8" t="s">
        <v>189</v>
      </c>
      <c r="F44" s="35">
        <f>SUM(F10,F14,F15,F19,F23,F24,F29,F33,F37,F41,F42)</f>
        <v>76092.399999999994</v>
      </c>
    </row>
    <row r="46" spans="1:9" x14ac:dyDescent="0.35">
      <c r="A46" s="64" t="s">
        <v>190</v>
      </c>
      <c r="B46" s="65"/>
      <c r="C46" s="65"/>
      <c r="D46" s="65"/>
      <c r="E46" s="65"/>
      <c r="F46" s="65"/>
      <c r="G46" s="65"/>
      <c r="H46" s="65"/>
      <c r="I46" s="65"/>
    </row>
    <row r="47" spans="1:9" x14ac:dyDescent="0.35">
      <c r="A47" s="10" t="s">
        <v>191</v>
      </c>
      <c r="B47" s="10" t="s">
        <v>192</v>
      </c>
      <c r="C47" s="10" t="s">
        <v>193</v>
      </c>
      <c r="D47" s="10" t="s">
        <v>194</v>
      </c>
      <c r="E47" s="10" t="s">
        <v>5</v>
      </c>
      <c r="F47" s="36" t="s">
        <v>195</v>
      </c>
      <c r="G47" s="10" t="s">
        <v>196</v>
      </c>
      <c r="H47" s="10" t="s">
        <v>197</v>
      </c>
      <c r="I47" s="10"/>
    </row>
    <row r="48" spans="1:9" x14ac:dyDescent="0.35">
      <c r="A48" s="6"/>
      <c r="B48" s="7"/>
      <c r="C48" s="6">
        <f>$B$3</f>
        <v>8</v>
      </c>
      <c r="D48" s="6" t="str">
        <f>IF(ISNUMBER(B48), B48*C48, "")</f>
        <v/>
      </c>
      <c r="E48" s="6" t="str">
        <f>IF(A48="","",VLOOKUP(A48, Base_Donnees!A:F, 6, FALSE))</f>
        <v/>
      </c>
      <c r="F48" s="33" t="str">
        <f>IF(ISNUMBER(D48), D48*E48, "")</f>
        <v/>
      </c>
      <c r="G48" s="6" t="str">
        <f>IF(A48="","",VLOOKUP(A48, Base_Donnees!A:F, 5, FALSE))</f>
        <v/>
      </c>
      <c r="H48" s="6" t="str">
        <f>IF(A48="","",VLOOKUP(A48, Base_Donnees!A:F, 4, FALSE))</f>
        <v/>
      </c>
      <c r="I48" s="6"/>
    </row>
    <row r="49" spans="1:9" x14ac:dyDescent="0.35">
      <c r="A49" s="6"/>
      <c r="B49" s="7"/>
      <c r="C49" s="6">
        <f>$B$3</f>
        <v>8</v>
      </c>
      <c r="D49" s="6" t="str">
        <f>IF(ISNUMBER(B49), B49*C49, "")</f>
        <v/>
      </c>
      <c r="E49" s="6" t="str">
        <f>IF(A49="","",VLOOKUP(A49, Base_Donnees!A:F, 6, FALSE))</f>
        <v/>
      </c>
      <c r="F49" s="33" t="str">
        <f>IF(ISNUMBER(D49), D49*E49, "")</f>
        <v/>
      </c>
      <c r="G49" s="6" t="str">
        <f>IF(A49="","",VLOOKUP(A49, Base_Donnees!A:F, 5, FALSE))</f>
        <v/>
      </c>
      <c r="H49" s="6" t="str">
        <f>IF(A49="","",VLOOKUP(A49, Base_Donnees!A:F, 4, FALSE))</f>
        <v/>
      </c>
      <c r="I49" s="6"/>
    </row>
    <row r="50" spans="1:9" x14ac:dyDescent="0.35">
      <c r="A50" s="6"/>
      <c r="B50" s="7"/>
      <c r="C50" s="6">
        <f>$B$3</f>
        <v>8</v>
      </c>
      <c r="D50" s="6" t="str">
        <f>IF(ISNUMBER(B50), B50*C50, "")</f>
        <v/>
      </c>
      <c r="E50" s="6" t="str">
        <f>IF(A50="","",VLOOKUP(A50, Base_Donnees!A:F, 6, FALSE))</f>
        <v/>
      </c>
      <c r="F50" s="33" t="str">
        <f>IF(ISNUMBER(D50), D50*E50, "")</f>
        <v/>
      </c>
      <c r="G50" s="6" t="str">
        <f>IF(A50="","",VLOOKUP(A50, Base_Donnees!A:F, 5, FALSE))</f>
        <v/>
      </c>
      <c r="H50" s="6" t="str">
        <f>IF(A50="","",VLOOKUP(A50, Base_Donnees!A:F, 4, FALSE))</f>
        <v/>
      </c>
      <c r="I50" s="6"/>
    </row>
    <row r="51" spans="1:9" x14ac:dyDescent="0.35">
      <c r="E51" s="8" t="s">
        <v>198</v>
      </c>
      <c r="F51" s="37">
        <f>SUM(F48,F49,F50)</f>
        <v>0</v>
      </c>
    </row>
    <row r="53" spans="1:9" x14ac:dyDescent="0.35">
      <c r="A53" s="64" t="s">
        <v>199</v>
      </c>
      <c r="B53" s="65"/>
      <c r="C53" s="65"/>
      <c r="D53" s="65"/>
      <c r="E53" s="65"/>
      <c r="F53" s="65"/>
      <c r="G53" s="65"/>
      <c r="H53" s="65"/>
      <c r="I53" s="65"/>
    </row>
    <row r="54" spans="1:9" x14ac:dyDescent="0.35">
      <c r="A54" s="12" t="s">
        <v>200</v>
      </c>
      <c r="B54" s="12" t="s">
        <v>201</v>
      </c>
      <c r="C54" s="12" t="s">
        <v>193</v>
      </c>
      <c r="D54" s="12" t="s">
        <v>194</v>
      </c>
      <c r="E54" s="12" t="s">
        <v>5</v>
      </c>
      <c r="F54" s="38" t="s">
        <v>195</v>
      </c>
      <c r="G54" s="12" t="s">
        <v>202</v>
      </c>
      <c r="H54" s="12" t="s">
        <v>203</v>
      </c>
      <c r="I54" s="12" t="s">
        <v>204</v>
      </c>
    </row>
    <row r="55" spans="1:9" x14ac:dyDescent="0.35">
      <c r="A55" s="6"/>
      <c r="B55" s="7"/>
      <c r="C55" s="6">
        <f>$B$3</f>
        <v>8</v>
      </c>
      <c r="D55" s="6" t="str">
        <f>IF(ISNUMBER(B55), B55*C55, "")</f>
        <v/>
      </c>
      <c r="E55" s="6" t="str">
        <f>IF(A55="","",VLOOKUP(A55, Base_Donnees!A:F, 6, FALSE))</f>
        <v/>
      </c>
      <c r="F55" s="33" t="str">
        <f>IF(ISNUMBER(D55), D55*E55, "")</f>
        <v/>
      </c>
      <c r="G55" s="6" t="str">
        <f>IF(A55="","",VLOOKUP(A55, Base_Donnees!A:F, 3, FALSE))</f>
        <v/>
      </c>
      <c r="H55" s="6" t="str">
        <f>IF(A55="","",VLOOKUP(A55, Base_Donnees!A:F, 4, FALSE))</f>
        <v/>
      </c>
      <c r="I55" s="6" t="str">
        <f>IF(A55="","",VLOOKUP(A55, Base_Donnees!A:F, 5, FALSE))</f>
        <v/>
      </c>
    </row>
    <row r="56" spans="1:9" x14ac:dyDescent="0.35">
      <c r="A56" s="6"/>
      <c r="B56" s="7"/>
      <c r="C56" s="6">
        <f>$B$3</f>
        <v>8</v>
      </c>
      <c r="D56" s="6" t="str">
        <f>IF(ISNUMBER(B56), B56*C56, "")</f>
        <v/>
      </c>
      <c r="E56" s="6" t="str">
        <f>IF(A56="","",VLOOKUP(A56, Base_Donnees!A:F, 6, FALSE))</f>
        <v/>
      </c>
      <c r="F56" s="33" t="str">
        <f>IF(ISNUMBER(D56), D56*E56, "")</f>
        <v/>
      </c>
      <c r="G56" s="6" t="str">
        <f>IF(A56="","",VLOOKUP(A56, Base_Donnees!A:F, 3, FALSE))</f>
        <v/>
      </c>
      <c r="H56" s="6" t="str">
        <f>IF(A56="","",VLOOKUP(A56, Base_Donnees!A:F, 4, FALSE))</f>
        <v/>
      </c>
      <c r="I56" s="6" t="str">
        <f>IF(A56="","",VLOOKUP(A56, Base_Donnees!A:F, 5, FALSE))</f>
        <v/>
      </c>
    </row>
    <row r="57" spans="1:9" x14ac:dyDescent="0.35">
      <c r="A57" s="6"/>
      <c r="B57" s="7"/>
      <c r="C57" s="6">
        <f>$B$3</f>
        <v>8</v>
      </c>
      <c r="D57" s="6" t="str">
        <f>IF(ISNUMBER(B57), B57*C57, "")</f>
        <v/>
      </c>
      <c r="E57" s="6" t="str">
        <f>IF(A57="","",VLOOKUP(A57, Base_Donnees!A:F, 6, FALSE))</f>
        <v/>
      </c>
      <c r="F57" s="33" t="str">
        <f>IF(ISNUMBER(D57), D57*E57, "")</f>
        <v/>
      </c>
      <c r="G57" s="6" t="str">
        <f>IF(A57="","",VLOOKUP(A57, Base_Donnees!A:F, 3, FALSE))</f>
        <v/>
      </c>
      <c r="H57" s="6" t="str">
        <f>IF(A57="","",VLOOKUP(A57, Base_Donnees!A:F, 4, FALSE))</f>
        <v/>
      </c>
      <c r="I57" s="6" t="str">
        <f>IF(A57="","",VLOOKUP(A57, Base_Donnees!A:F, 5, FALSE))</f>
        <v/>
      </c>
    </row>
    <row r="58" spans="1:9" x14ac:dyDescent="0.35">
      <c r="E58" s="8" t="s">
        <v>205</v>
      </c>
      <c r="F58" s="37">
        <f>SUM(F55,F56,F57)</f>
        <v>0</v>
      </c>
    </row>
  </sheetData>
  <mergeCells count="13">
    <mergeCell ref="A7:I7"/>
    <mergeCell ref="A46:I46"/>
    <mergeCell ref="A1:I1"/>
    <mergeCell ref="A17:I17"/>
    <mergeCell ref="A27:I27"/>
    <mergeCell ref="A8:I8"/>
    <mergeCell ref="A31:I31"/>
    <mergeCell ref="A53:I53"/>
    <mergeCell ref="A39:I39"/>
    <mergeCell ref="A12:I12"/>
    <mergeCell ref="A26:I26"/>
    <mergeCell ref="A21:I21"/>
    <mergeCell ref="A35:I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59"/>
  <sheetViews>
    <sheetView topLeftCell="A40" workbookViewId="0">
      <selection activeCell="B53" sqref="B53"/>
    </sheetView>
  </sheetViews>
  <sheetFormatPr baseColWidth="10" defaultColWidth="8.7265625" defaultRowHeight="14.5" x14ac:dyDescent="0.35"/>
  <cols>
    <col min="1" max="1" width="42" customWidth="1"/>
    <col min="2" max="3" width="15" customWidth="1"/>
    <col min="4" max="4" width="20" customWidth="1"/>
    <col min="5" max="6" width="20" style="21" customWidth="1"/>
    <col min="7" max="7" width="15" customWidth="1"/>
    <col min="8" max="8" width="20" customWidth="1"/>
    <col min="9" max="9" width="45" customWidth="1"/>
  </cols>
  <sheetData>
    <row r="1" spans="1:9" ht="19" x14ac:dyDescent="0.35">
      <c r="A1" s="68" t="s">
        <v>217</v>
      </c>
      <c r="B1" s="65"/>
      <c r="C1" s="65"/>
      <c r="D1" s="65"/>
      <c r="E1" s="65"/>
      <c r="F1" s="65"/>
      <c r="G1" s="65"/>
      <c r="H1" s="65"/>
      <c r="I1" s="65"/>
    </row>
    <row r="3" spans="1:9" x14ac:dyDescent="0.35">
      <c r="A3" t="s">
        <v>170</v>
      </c>
      <c r="B3" s="4">
        <v>4</v>
      </c>
    </row>
    <row r="4" spans="1:9" x14ac:dyDescent="0.35">
      <c r="A4" t="s">
        <v>171</v>
      </c>
      <c r="B4" s="4" t="s">
        <v>218</v>
      </c>
    </row>
    <row r="5" spans="1:9" x14ac:dyDescent="0.35">
      <c r="A5" t="s">
        <v>173</v>
      </c>
      <c r="B5" s="49" t="s">
        <v>224</v>
      </c>
    </row>
    <row r="7" spans="1:9" ht="16.5" x14ac:dyDescent="0.35">
      <c r="A7" s="67" t="s">
        <v>175</v>
      </c>
      <c r="B7" s="65"/>
      <c r="C7" s="65"/>
      <c r="D7" s="65"/>
      <c r="E7" s="65"/>
      <c r="F7" s="65"/>
      <c r="G7" s="65"/>
      <c r="H7" s="65"/>
      <c r="I7" s="65"/>
    </row>
    <row r="8" spans="1:9" x14ac:dyDescent="0.35">
      <c r="A8" s="66" t="s">
        <v>176</v>
      </c>
      <c r="B8" s="65"/>
      <c r="C8" s="65"/>
      <c r="D8" s="65"/>
      <c r="E8" s="65"/>
      <c r="F8" s="65"/>
      <c r="G8" s="65"/>
      <c r="H8" s="65"/>
      <c r="I8" s="65"/>
    </row>
    <row r="9" spans="1:9" x14ac:dyDescent="0.35">
      <c r="A9" s="1" t="s">
        <v>177</v>
      </c>
      <c r="B9" s="1" t="s">
        <v>178</v>
      </c>
      <c r="C9" s="1" t="s">
        <v>179</v>
      </c>
      <c r="D9" s="1" t="s">
        <v>180</v>
      </c>
      <c r="E9" s="32" t="s">
        <v>5</v>
      </c>
      <c r="F9" s="32" t="s">
        <v>181</v>
      </c>
      <c r="G9" s="1" t="s">
        <v>182</v>
      </c>
      <c r="H9" s="1" t="s">
        <v>183</v>
      </c>
      <c r="I9" s="1" t="s">
        <v>184</v>
      </c>
    </row>
    <row r="10" spans="1:9" x14ac:dyDescent="0.35">
      <c r="A10" s="6"/>
      <c r="B10" s="7"/>
      <c r="C10" s="7"/>
      <c r="D10" s="6" t="str">
        <f>IF(AND(ISNUMBER(B10), ISNUMBER(C10)), B10*C10*$B$3, "")</f>
        <v/>
      </c>
      <c r="E10" s="33" t="str">
        <f>IF(A10="","",VLOOKUP(A10, Base_Donnees!A:F, 6, FALSE))</f>
        <v/>
      </c>
      <c r="F10" s="33" t="str">
        <f>IF(ISNUMBER(D10), D10*E10, "")</f>
        <v/>
      </c>
      <c r="G10" s="6" t="str">
        <f>IF(A10="","",IF(ISNUMBER(D10), IFERROR((D10/VLOOKUP(A10, Base_Donnees!A:F, 3, FALSE))*1000, "-"), ""))</f>
        <v/>
      </c>
      <c r="H10" s="6" t="str">
        <f>IF(A10="","",VLOOKUP(A10, Base_Donnees!A:F, 4, FALSE))</f>
        <v/>
      </c>
      <c r="I10" s="6" t="str">
        <f>IF(A10="","",VLOOKUP(A10, Base_Donnees!A:F, 5, FALSE))</f>
        <v/>
      </c>
    </row>
    <row r="12" spans="1:9" x14ac:dyDescent="0.35">
      <c r="A12" s="66" t="s">
        <v>185</v>
      </c>
      <c r="B12" s="65"/>
      <c r="C12" s="65"/>
      <c r="D12" s="65"/>
      <c r="E12" s="65"/>
      <c r="F12" s="65"/>
      <c r="G12" s="65"/>
      <c r="H12" s="65"/>
      <c r="I12" s="65"/>
    </row>
    <row r="13" spans="1:9" x14ac:dyDescent="0.35">
      <c r="A13" s="1" t="s">
        <v>177</v>
      </c>
      <c r="B13" s="1" t="s">
        <v>178</v>
      </c>
      <c r="C13" s="1" t="s">
        <v>179</v>
      </c>
      <c r="D13" s="1" t="s">
        <v>180</v>
      </c>
      <c r="E13" s="32" t="s">
        <v>5</v>
      </c>
      <c r="F13" s="32" t="s">
        <v>181</v>
      </c>
      <c r="G13" s="1" t="s">
        <v>182</v>
      </c>
      <c r="H13" s="1" t="s">
        <v>183</v>
      </c>
      <c r="I13" s="1" t="s">
        <v>184</v>
      </c>
    </row>
    <row r="14" spans="1:9" x14ac:dyDescent="0.35">
      <c r="A14" s="6" t="s">
        <v>19</v>
      </c>
      <c r="B14" s="7">
        <v>10</v>
      </c>
      <c r="C14" s="7">
        <v>4</v>
      </c>
      <c r="D14" s="6">
        <f>IF(AND(ISNUMBER(B14), ISNUMBER(C14)), B14*C14*$B$3, "")</f>
        <v>160</v>
      </c>
      <c r="E14" s="33">
        <f>IF(A14="","",VLOOKUP(A14, Base_Donnees!A:F, 6, FALSE))</f>
        <v>45</v>
      </c>
      <c r="F14" s="33">
        <f>IF(ISNUMBER(D14), D14*E14, "")</f>
        <v>7200</v>
      </c>
      <c r="G14" s="6">
        <f>IF(A14="","",IF(ISNUMBER(D14), IFERROR((D14/VLOOKUP(A14, Base_Donnees!A:F, 3, FALSE))*1000, "-"), ""))</f>
        <v>1523.8095238095236</v>
      </c>
      <c r="H14" s="6" t="str">
        <f>IF(A14="","",VLOOKUP(A14, Base_Donnees!A:F, 4, FALSE))</f>
        <v>5 min</v>
      </c>
      <c r="I14" s="6" t="str">
        <f>IF(A14="","",VLOOKUP(A14, Base_Donnees!A:F, 5, FALSE))</f>
        <v>Très soluble. Refroidit l'eau (endothermique).</v>
      </c>
    </row>
    <row r="15" spans="1:9" x14ac:dyDescent="0.35">
      <c r="A15" s="6" t="s">
        <v>24</v>
      </c>
      <c r="B15" s="7">
        <v>5</v>
      </c>
      <c r="C15" s="7">
        <v>4</v>
      </c>
      <c r="D15" s="6">
        <f>IF(AND(ISNUMBER(B15), ISNUMBER(C15)), B15*C15*$B$3, "")</f>
        <v>80</v>
      </c>
      <c r="E15" s="33">
        <f>IF(A15="","",VLOOKUP(A15, Base_Donnees!A:F, 6, FALSE))</f>
        <v>26</v>
      </c>
      <c r="F15" s="33">
        <f>IF(ISNUMBER(D15), D15*E15, "")</f>
        <v>2080</v>
      </c>
      <c r="G15" s="6">
        <f>IF(A15="","",IF(ISNUMBER(D15), IFERROR((D15/VLOOKUP(A15, Base_Donnees!A:F, 3, FALSE))*1000, "-"), ""))</f>
        <v>2666.6666666666665</v>
      </c>
      <c r="H15" s="6" t="str">
        <f>IF(A15="","",VLOOKUP(A15, Base_Donnees!A:F, 4, FALSE))</f>
        <v>15 min</v>
      </c>
      <c r="I15" s="6" t="str">
        <f>IF(A15="","",VLOOKUP(A15, Base_Donnees!A:F, 5, FALSE))</f>
        <v>Sensible à l'eau froide du puits.</v>
      </c>
    </row>
    <row r="16" spans="1:9" x14ac:dyDescent="0.35">
      <c r="A16" s="6" t="s">
        <v>32</v>
      </c>
      <c r="B16" s="7">
        <v>3.5</v>
      </c>
      <c r="C16" s="7">
        <v>4</v>
      </c>
      <c r="D16" s="6">
        <f>IF(AND(ISNUMBER(B16), ISNUMBER(C16)), B16*C16*$B$3, "")</f>
        <v>56</v>
      </c>
      <c r="E16" s="33">
        <f>IF(A16="","",VLOOKUP(A16, Base_Donnees!A:F, 6, FALSE))</f>
        <v>260</v>
      </c>
      <c r="F16" s="33">
        <f>IF(ISNUMBER(D16), D16*E16, "")</f>
        <v>14560</v>
      </c>
      <c r="G16" s="6">
        <f>IF(A16="","",IF(ISNUMBER(D16), IFERROR((D16/VLOOKUP(A16, Base_Donnees!A:F, 3, FALSE))*1000, "-"), ""))</f>
        <v>800</v>
      </c>
      <c r="H16" s="6" t="str">
        <f>IF(A16="","",VLOOKUP(A16, Base_Donnees!A:F, 4, FALSE))</f>
        <v>8 min</v>
      </c>
      <c r="I16" s="6" t="str">
        <f>IF(A16="","",VLOOKUP(A16, Base_Donnees!A:F, 5, FALSE))</f>
        <v>Excellente source de magnésium soluble.</v>
      </c>
    </row>
    <row r="18" spans="1:9" x14ac:dyDescent="0.35">
      <c r="A18" s="66" t="s">
        <v>186</v>
      </c>
      <c r="B18" s="65"/>
      <c r="C18" s="65"/>
      <c r="D18" s="65"/>
      <c r="E18" s="65"/>
      <c r="F18" s="65"/>
      <c r="G18" s="65"/>
      <c r="H18" s="65"/>
      <c r="I18" s="65"/>
    </row>
    <row r="19" spans="1:9" x14ac:dyDescent="0.35">
      <c r="A19" s="1" t="s">
        <v>177</v>
      </c>
      <c r="B19" s="1" t="s">
        <v>178</v>
      </c>
      <c r="C19" s="1" t="s">
        <v>179</v>
      </c>
      <c r="D19" s="1" t="s">
        <v>180</v>
      </c>
      <c r="E19" s="32" t="s">
        <v>5</v>
      </c>
      <c r="F19" s="32" t="s">
        <v>181</v>
      </c>
      <c r="G19" s="1" t="s">
        <v>182</v>
      </c>
      <c r="H19" s="1" t="s">
        <v>183</v>
      </c>
      <c r="I19" s="1" t="s">
        <v>184</v>
      </c>
    </row>
    <row r="20" spans="1:9" x14ac:dyDescent="0.35">
      <c r="A20" s="6"/>
      <c r="B20" s="7"/>
      <c r="C20" s="7"/>
      <c r="D20" s="6" t="str">
        <f>IF(AND(ISNUMBER(B20), ISNUMBER(C20)), B20*C20*$B$3, "")</f>
        <v/>
      </c>
      <c r="E20" s="33" t="str">
        <f>IF(A20="","",VLOOKUP(A20, Base_Donnees!A:F, 6, FALSE))</f>
        <v/>
      </c>
      <c r="F20" s="33" t="str">
        <f>IF(ISNUMBER(D20), D20*E20, "")</f>
        <v/>
      </c>
      <c r="G20" s="6" t="str">
        <f>IF(A20="","",IF(ISNUMBER(D20), IFERROR((D20/VLOOKUP(A20, Base_Donnees!A:F, 3, FALSE))*1000, "-"), ""))</f>
        <v/>
      </c>
      <c r="H20" s="6" t="str">
        <f>IF(A20="","",VLOOKUP(A20, Base_Donnees!A:F, 4, FALSE))</f>
        <v/>
      </c>
      <c r="I20" s="6" t="str">
        <f>IF(A20="","",VLOOKUP(A20, Base_Donnees!A:F, 5, FALSE))</f>
        <v/>
      </c>
    </row>
    <row r="22" spans="1:9" x14ac:dyDescent="0.35">
      <c r="A22" s="66" t="s">
        <v>187</v>
      </c>
      <c r="B22" s="65"/>
      <c r="C22" s="65"/>
      <c r="D22" s="65"/>
      <c r="E22" s="65"/>
      <c r="F22" s="65"/>
      <c r="G22" s="65"/>
      <c r="H22" s="65"/>
      <c r="I22" s="65"/>
    </row>
    <row r="23" spans="1:9" x14ac:dyDescent="0.35">
      <c r="A23" s="1" t="s">
        <v>177</v>
      </c>
      <c r="B23" s="1" t="s">
        <v>178</v>
      </c>
      <c r="C23" s="1" t="s">
        <v>179</v>
      </c>
      <c r="D23" s="1" t="s">
        <v>180</v>
      </c>
      <c r="E23" s="32" t="s">
        <v>5</v>
      </c>
      <c r="F23" s="32" t="s">
        <v>181</v>
      </c>
      <c r="G23" s="1" t="s">
        <v>182</v>
      </c>
      <c r="H23" s="1" t="s">
        <v>183</v>
      </c>
      <c r="I23" s="1" t="s">
        <v>184</v>
      </c>
    </row>
    <row r="24" spans="1:9" x14ac:dyDescent="0.35">
      <c r="A24" s="6" t="s">
        <v>55</v>
      </c>
      <c r="B24" s="7">
        <v>2</v>
      </c>
      <c r="C24" s="7">
        <v>4</v>
      </c>
      <c r="D24" s="6">
        <f>IF(AND(ISNUMBER(B24), ISNUMBER(C24)), B24*C24*$B$3, "")</f>
        <v>32</v>
      </c>
      <c r="E24" s="33">
        <f>IF(A24="","",VLOOKUP(A24, Base_Donnees!A:F, 6, FALSE))</f>
        <v>378.15</v>
      </c>
      <c r="F24" s="33">
        <f>IF(ISNUMBER(D24), D24*E24, "")</f>
        <v>12100.8</v>
      </c>
      <c r="G24" s="6">
        <f>IF(A24="","",IF(ISNUMBER(D24), IFERROR((D24/VLOOKUP(A24, Base_Donnees!A:F, 3, FALSE))*1000, "-"), ""))</f>
        <v>6.4</v>
      </c>
      <c r="H24" s="6" t="str">
        <f>IF(A24="","",VLOOKUP(A24, Base_Donnees!A:F, 4, FALSE))</f>
        <v>1 min</v>
      </c>
      <c r="I24" s="6" t="str">
        <f>IF(A24="","",VLOOKUP(A24, Base_Donnees!A:F, 5, FALSE))</f>
        <v>CORROSIF : Gants + lunettes obligatoires.</v>
      </c>
    </row>
    <row r="26" spans="1:9" ht="16.5" x14ac:dyDescent="0.35">
      <c r="A26" s="69" t="s">
        <v>188</v>
      </c>
      <c r="B26" s="65"/>
      <c r="C26" s="65"/>
      <c r="D26" s="65"/>
      <c r="E26" s="65"/>
      <c r="F26" s="65"/>
      <c r="G26" s="65"/>
      <c r="H26" s="65"/>
      <c r="I26" s="65"/>
    </row>
    <row r="27" spans="1:9" x14ac:dyDescent="0.35">
      <c r="A27" s="66" t="s">
        <v>176</v>
      </c>
      <c r="B27" s="65"/>
      <c r="C27" s="65"/>
      <c r="D27" s="65"/>
      <c r="E27" s="65"/>
      <c r="F27" s="65"/>
      <c r="G27" s="65"/>
      <c r="H27" s="65"/>
      <c r="I27" s="65"/>
    </row>
    <row r="28" spans="1:9" x14ac:dyDescent="0.35">
      <c r="A28" s="1" t="s">
        <v>177</v>
      </c>
      <c r="B28" s="1" t="s">
        <v>178</v>
      </c>
      <c r="C28" s="1" t="s">
        <v>179</v>
      </c>
      <c r="D28" s="1" t="s">
        <v>180</v>
      </c>
      <c r="E28" s="32" t="s">
        <v>5</v>
      </c>
      <c r="F28" s="32" t="s">
        <v>181</v>
      </c>
      <c r="G28" s="1" t="s">
        <v>182</v>
      </c>
      <c r="H28" s="1" t="s">
        <v>183</v>
      </c>
      <c r="I28" s="1" t="s">
        <v>184</v>
      </c>
    </row>
    <row r="29" spans="1:9" x14ac:dyDescent="0.35">
      <c r="A29" s="6" t="s">
        <v>12</v>
      </c>
      <c r="B29" s="7">
        <v>5</v>
      </c>
      <c r="C29" s="7">
        <v>1</v>
      </c>
      <c r="D29" s="6">
        <f>IF(AND(ISNUMBER(B29), ISNUMBER(C29)), B29*C29*$B$3, "")</f>
        <v>20</v>
      </c>
      <c r="E29" s="33">
        <f>IF(A29="","",VLOOKUP(A29, Base_Donnees!A:F, 6, FALSE))</f>
        <v>160</v>
      </c>
      <c r="F29" s="33">
        <f>IF(ISNUMBER(D29), D29*E29, "")</f>
        <v>3200</v>
      </c>
      <c r="G29" s="6">
        <f>IF(A29="","",IF(ISNUMBER(D29), IFERROR((D29/VLOOKUP(A29, Base_Donnees!A:F, 3, FALSE))*1000, "-"), ""))</f>
        <v>166.66666666666666</v>
      </c>
      <c r="H29" s="6" t="str">
        <f>IF(A29="","",VLOOKUP(A29, Base_Donnees!A:F, 4, FALSE))</f>
        <v>6 min</v>
      </c>
      <c r="I29" s="6" t="str">
        <f>IF(A29="","",VLOOKUP(A29, Base_Donnees!A:F, 5, FALSE))</f>
        <v>CRITIQUE : Isoler totalement des Sulfates/Phosphates.</v>
      </c>
    </row>
    <row r="31" spans="1:9" x14ac:dyDescent="0.35">
      <c r="A31" s="66" t="s">
        <v>185</v>
      </c>
      <c r="B31" s="65"/>
      <c r="C31" s="65"/>
      <c r="D31" s="65"/>
      <c r="E31" s="65"/>
      <c r="F31" s="65"/>
      <c r="G31" s="65"/>
      <c r="H31" s="65"/>
      <c r="I31" s="65"/>
    </row>
    <row r="32" spans="1:9" x14ac:dyDescent="0.35">
      <c r="A32" s="1" t="s">
        <v>177</v>
      </c>
      <c r="B32" s="1" t="s">
        <v>178</v>
      </c>
      <c r="C32" s="1" t="s">
        <v>179</v>
      </c>
      <c r="D32" s="1" t="s">
        <v>180</v>
      </c>
      <c r="E32" s="32" t="s">
        <v>5</v>
      </c>
      <c r="F32" s="32" t="s">
        <v>181</v>
      </c>
      <c r="G32" s="1" t="s">
        <v>182</v>
      </c>
      <c r="H32" s="1" t="s">
        <v>183</v>
      </c>
      <c r="I32" s="1" t="s">
        <v>184</v>
      </c>
    </row>
    <row r="33" spans="1:9" x14ac:dyDescent="0.35">
      <c r="A33" s="6" t="s">
        <v>32</v>
      </c>
      <c r="B33" s="7">
        <v>2.5</v>
      </c>
      <c r="C33" s="7">
        <v>1</v>
      </c>
      <c r="D33" s="6">
        <f>IF(AND(ISNUMBER(B33), ISNUMBER(C33)), B33*C33*$B$3, "")</f>
        <v>10</v>
      </c>
      <c r="E33" s="33">
        <f>IF(A33="","",VLOOKUP(A33, Base_Donnees!A:F, 6, FALSE))</f>
        <v>260</v>
      </c>
      <c r="F33" s="33">
        <f>IF(ISNUMBER(D33), D33*E33, "")</f>
        <v>2600</v>
      </c>
      <c r="G33" s="6">
        <f>IF(A33="","",IF(ISNUMBER(D33), IFERROR((D33/VLOOKUP(A33, Base_Donnees!A:F, 3, FALSE))*1000, "-"), ""))</f>
        <v>142.85714285714286</v>
      </c>
      <c r="H33" s="6" t="str">
        <f>IF(A33="","",VLOOKUP(A33, Base_Donnees!A:F, 4, FALSE))</f>
        <v>8 min</v>
      </c>
      <c r="I33" s="6" t="str">
        <f>IF(A33="","",VLOOKUP(A33, Base_Donnees!A:F, 5, FALSE))</f>
        <v>Excellente source de magnésium soluble.</v>
      </c>
    </row>
    <row r="35" spans="1:9" x14ac:dyDescent="0.35">
      <c r="A35" s="66" t="s">
        <v>186</v>
      </c>
      <c r="B35" s="65"/>
      <c r="C35" s="65"/>
      <c r="D35" s="65"/>
      <c r="E35" s="65"/>
      <c r="F35" s="65"/>
      <c r="G35" s="65"/>
      <c r="H35" s="65"/>
      <c r="I35" s="65"/>
    </row>
    <row r="36" spans="1:9" x14ac:dyDescent="0.35">
      <c r="A36" s="1" t="s">
        <v>177</v>
      </c>
      <c r="B36" s="1" t="s">
        <v>178</v>
      </c>
      <c r="C36" s="1" t="s">
        <v>179</v>
      </c>
      <c r="D36" s="1" t="s">
        <v>180</v>
      </c>
      <c r="E36" s="32" t="s">
        <v>5</v>
      </c>
      <c r="F36" s="32" t="s">
        <v>181</v>
      </c>
      <c r="G36" s="1" t="s">
        <v>182</v>
      </c>
      <c r="H36" s="1" t="s">
        <v>183</v>
      </c>
      <c r="I36" s="1" t="s">
        <v>184</v>
      </c>
    </row>
    <row r="37" spans="1:9" x14ac:dyDescent="0.35">
      <c r="A37" s="6" t="s">
        <v>42</v>
      </c>
      <c r="B37" s="7">
        <v>5</v>
      </c>
      <c r="C37" s="7">
        <v>1</v>
      </c>
      <c r="D37" s="6">
        <f>IF(AND(ISNUMBER(B37), ISNUMBER(C37)), B37*C37*$B$3, "")</f>
        <v>20</v>
      </c>
      <c r="E37" s="33">
        <f>IF(A37="","",VLOOKUP(A37, Base_Donnees!A:F, 6, FALSE))</f>
        <v>420</v>
      </c>
      <c r="F37" s="33">
        <f>IF(ISNUMBER(D37), D37*E37, "")</f>
        <v>8400</v>
      </c>
      <c r="G37" s="6">
        <f>IF(A37="","",IF(ISNUMBER(D37), IFERROR((D37/VLOOKUP(A37, Base_Donnees!A:F, 3, FALSE))*1000, "-"), ""))</f>
        <v>400</v>
      </c>
      <c r="H37" s="6" t="str">
        <f>IF(A37="","",VLOOKUP(A37, Base_Donnees!A:F, 4, FALSE))</f>
        <v>15 min</v>
      </c>
      <c r="I37" s="6" t="str">
        <f>IF(A37="","",VLOOKUP(A37, Base_Donnees!A:F, 5, FALSE))</f>
        <v>Améliore la structure du sol et l'assimilation.</v>
      </c>
    </row>
    <row r="38" spans="1:9" x14ac:dyDescent="0.35">
      <c r="A38" s="6" t="s">
        <v>46</v>
      </c>
      <c r="B38" s="7">
        <v>0.5</v>
      </c>
      <c r="C38" s="7">
        <v>1</v>
      </c>
      <c r="D38" s="6">
        <f>IF(AND(ISNUMBER(B38), ISNUMBER(C38)), B38*C38*$B$3, "")</f>
        <v>2</v>
      </c>
      <c r="E38" s="33">
        <f>IF(A38="","",VLOOKUP(A38, Base_Donnees!A:F, 6, FALSE))</f>
        <v>3200</v>
      </c>
      <c r="F38" s="33">
        <f>IF(ISNUMBER(D38), D38*E38, "")</f>
        <v>6400</v>
      </c>
      <c r="G38" s="6">
        <f>IF(A38="","",IF(ISNUMBER(D38), IFERROR((D38/VLOOKUP(A38, Base_Donnees!A:F, 3, FALSE))*1000, "-"), ""))</f>
        <v>22.222222222222221</v>
      </c>
      <c r="H38" s="6" t="str">
        <f>IF(A38="","",VLOOKUP(A38, Base_Donnees!A:F, 4, FALSE))</f>
        <v>8 min</v>
      </c>
      <c r="I38" s="6" t="str">
        <f>IF(A38="","",VLOOKUP(A38, Base_Donnees!A:F, 5, FALSE))</f>
        <v>Indispensable contre la chlorose en sol calcaire.</v>
      </c>
    </row>
    <row r="40" spans="1:9" x14ac:dyDescent="0.35">
      <c r="A40" s="66" t="s">
        <v>187</v>
      </c>
      <c r="B40" s="65"/>
      <c r="C40" s="65"/>
      <c r="D40" s="65"/>
      <c r="E40" s="65"/>
      <c r="F40" s="65"/>
      <c r="G40" s="65"/>
      <c r="H40" s="65"/>
      <c r="I40" s="65"/>
    </row>
    <row r="41" spans="1:9" x14ac:dyDescent="0.35">
      <c r="A41" s="1" t="s">
        <v>177</v>
      </c>
      <c r="B41" s="1" t="s">
        <v>178</v>
      </c>
      <c r="C41" s="1" t="s">
        <v>179</v>
      </c>
      <c r="D41" s="1" t="s">
        <v>180</v>
      </c>
      <c r="E41" s="32" t="s">
        <v>5</v>
      </c>
      <c r="F41" s="32" t="s">
        <v>181</v>
      </c>
      <c r="G41" s="1" t="s">
        <v>182</v>
      </c>
      <c r="H41" s="1" t="s">
        <v>183</v>
      </c>
      <c r="I41" s="1" t="s">
        <v>184</v>
      </c>
    </row>
    <row r="42" spans="1:9" x14ac:dyDescent="0.35">
      <c r="A42" s="6" t="s">
        <v>65</v>
      </c>
      <c r="B42" s="7">
        <v>1</v>
      </c>
      <c r="C42" s="7">
        <v>1</v>
      </c>
      <c r="D42" s="6">
        <f>IF(AND(ISNUMBER(B42), ISNUMBER(C42)), B42*C42*$B$3, "")</f>
        <v>4</v>
      </c>
      <c r="E42" s="33">
        <f>IF(A42="","",VLOOKUP(A42, Base_Donnees!A:F, 6, FALSE))</f>
        <v>410.55</v>
      </c>
      <c r="F42" s="33">
        <f>IF(ISNUMBER(D42), D42*E42, "")</f>
        <v>1642.2</v>
      </c>
      <c r="G42" s="6">
        <f>IF(A42="","",IF(ISNUMBER(D42), IFERROR((D42/VLOOKUP(A42, Base_Donnees!A:F, 3, FALSE))*1000, "-"), ""))</f>
        <v>6.7796610169491522</v>
      </c>
      <c r="H42" s="6" t="str">
        <f>IF(A42="","",VLOOKUP(A42, Base_Donnees!A:F, 4, FALSE))</f>
        <v>4 min</v>
      </c>
      <c r="I42" s="6" t="str">
        <f>IF(A42="","",VLOOKUP(A42, Base_Donnees!A:F, 5, FALSE))</f>
        <v>Idéal pour chélater et nettoyer les goutteurs.</v>
      </c>
    </row>
    <row r="43" spans="1:9" x14ac:dyDescent="0.35">
      <c r="A43" s="6" t="s">
        <v>55</v>
      </c>
      <c r="B43" s="7">
        <v>1</v>
      </c>
      <c r="C43" s="7">
        <v>1</v>
      </c>
      <c r="D43" s="6">
        <f>IF(AND(ISNUMBER(B43), ISNUMBER(C43)), B43*C43*$B$3, "")</f>
        <v>4</v>
      </c>
      <c r="E43" s="33">
        <f>IF(A43="","",VLOOKUP(A43, Base_Donnees!A:F, 6, FALSE))</f>
        <v>378.15</v>
      </c>
      <c r="F43" s="33">
        <f>IF(ISNUMBER(D43), D43*E43, "")</f>
        <v>1512.6</v>
      </c>
      <c r="G43" s="6">
        <f>IF(A43="","",IF(ISNUMBER(D43), IFERROR((D43/VLOOKUP(A43, Base_Donnees!A:F, 3, FALSE))*1000, "-"), ""))</f>
        <v>0.8</v>
      </c>
      <c r="H43" s="6" t="str">
        <f>IF(A43="","",VLOOKUP(A43, Base_Donnees!A:F, 4, FALSE))</f>
        <v>1 min</v>
      </c>
      <c r="I43" s="6" t="str">
        <f>IF(A43="","",VLOOKUP(A43, Base_Donnees!A:F, 5, FALSE))</f>
        <v>CORROSIF : Gants + lunettes obligatoires.</v>
      </c>
    </row>
    <row r="45" spans="1:9" x14ac:dyDescent="0.35">
      <c r="E45" s="34" t="s">
        <v>189</v>
      </c>
      <c r="F45" s="35">
        <f>SUM(F10,F14,F15,F16,F20,F24,F29,F33,F37,F38,F42,F43)</f>
        <v>59695.6</v>
      </c>
    </row>
    <row r="47" spans="1:9" x14ac:dyDescent="0.35">
      <c r="A47" s="64" t="s">
        <v>190</v>
      </c>
      <c r="B47" s="65"/>
      <c r="C47" s="65"/>
      <c r="D47" s="65"/>
      <c r="E47" s="65"/>
      <c r="F47" s="65"/>
      <c r="G47" s="65"/>
      <c r="H47" s="65"/>
      <c r="I47" s="65"/>
    </row>
    <row r="48" spans="1:9" x14ac:dyDescent="0.35">
      <c r="A48" s="10" t="s">
        <v>191</v>
      </c>
      <c r="B48" s="10" t="s">
        <v>192</v>
      </c>
      <c r="C48" s="10" t="s">
        <v>193</v>
      </c>
      <c r="D48" s="10" t="s">
        <v>194</v>
      </c>
      <c r="E48" s="36" t="s">
        <v>5</v>
      </c>
      <c r="F48" s="36" t="s">
        <v>195</v>
      </c>
      <c r="G48" s="10" t="s">
        <v>196</v>
      </c>
      <c r="H48" s="10" t="s">
        <v>197</v>
      </c>
      <c r="I48" s="10"/>
    </row>
    <row r="49" spans="1:9" x14ac:dyDescent="0.35">
      <c r="A49" s="6" t="s">
        <v>73</v>
      </c>
      <c r="B49" s="7">
        <v>2.5</v>
      </c>
      <c r="C49" s="6">
        <f>$B$3</f>
        <v>4</v>
      </c>
      <c r="D49" s="6">
        <f>IF(ISNUMBER(B49), B49*C49, "")</f>
        <v>10</v>
      </c>
      <c r="E49" s="33">
        <f>IF(A49="","",VLOOKUP(A49, Base_Donnees!A:F, 6, FALSE))</f>
        <v>1500</v>
      </c>
      <c r="F49" s="33">
        <f>IF(ISNUMBER(D49), D49*E49, "")</f>
        <v>15000</v>
      </c>
      <c r="G49" s="6" t="str">
        <f>IF(A49="","",VLOOKUP(A49, Base_Donnees!A:F, 5, FALSE))</f>
        <v>Anti-stress foliaire post-Sirocco.</v>
      </c>
      <c r="H49" s="6" t="str">
        <f>IF(A49="","",VLOOKUP(A49, Base_Donnees!A:F, 4, FALSE))</f>
        <v>Relance végétative</v>
      </c>
      <c r="I49" s="6"/>
    </row>
    <row r="50" spans="1:9" x14ac:dyDescent="0.35">
      <c r="A50" s="6" t="s">
        <v>37</v>
      </c>
      <c r="B50" s="7">
        <v>1.5</v>
      </c>
      <c r="C50" s="6">
        <f>$B$3</f>
        <v>4</v>
      </c>
      <c r="D50" s="6">
        <f>IF(ISNUMBER(B50), B50*C50, "")</f>
        <v>6</v>
      </c>
      <c r="E50" s="33">
        <f>IF(A50="","",VLOOKUP(A50, Base_Donnees!A:F, 6, FALSE))</f>
        <v>3450</v>
      </c>
      <c r="F50" s="33">
        <f>IF(ISNUMBER(D50), D50*E50, "")</f>
        <v>20700</v>
      </c>
      <c r="G50" s="6" t="str">
        <f>IF(A50="","",VLOOKUP(A50, Base_Donnees!A:F, 5, FALSE))</f>
        <v>Mélange complet d'oligo-éléments chélatés.</v>
      </c>
      <c r="H50" s="6" t="str">
        <f>IF(A50="","",VLOOKUP(A50, Base_Donnees!A:F, 4, FALSE))</f>
        <v>10 min</v>
      </c>
      <c r="I50" s="6"/>
    </row>
    <row r="51" spans="1:9" x14ac:dyDescent="0.35">
      <c r="A51" s="6" t="s">
        <v>78</v>
      </c>
      <c r="B51" s="7">
        <v>2.5</v>
      </c>
      <c r="C51" s="6">
        <f>$B$3</f>
        <v>4</v>
      </c>
      <c r="D51" s="6">
        <f>IF(ISNUMBER(B51), B51*C51, "")</f>
        <v>10</v>
      </c>
      <c r="E51" s="33">
        <f>IF(A51="","",VLOOKUP(A51, Base_Donnees!A:F, 6, FALSE))</f>
        <v>2000</v>
      </c>
      <c r="F51" s="33">
        <f>IF(ISNUMBER(D51), D51*E51, "")</f>
        <v>20000</v>
      </c>
      <c r="G51" s="6" t="str">
        <f>IF(A51="","",VLOOKUP(A51, Base_Donnees!A:F, 5, FALSE))</f>
        <v>Soutien de la vigueur foliaire et division.</v>
      </c>
      <c r="H51" s="6" t="str">
        <f>IF(A51="","",VLOOKUP(A51, Base_Donnees!A:F, 4, FALSE))</f>
        <v>Extrait d'algues</v>
      </c>
      <c r="I51" s="6"/>
    </row>
    <row r="52" spans="1:9" x14ac:dyDescent="0.35">
      <c r="E52" s="34" t="s">
        <v>198</v>
      </c>
      <c r="F52" s="37">
        <f>SUM(F49,F50,F51)</f>
        <v>55700</v>
      </c>
    </row>
    <row r="54" spans="1:9" x14ac:dyDescent="0.35">
      <c r="A54" s="64" t="s">
        <v>199</v>
      </c>
      <c r="B54" s="65"/>
      <c r="C54" s="65"/>
      <c r="D54" s="65"/>
      <c r="E54" s="65"/>
      <c r="F54" s="65"/>
      <c r="G54" s="65"/>
      <c r="H54" s="65"/>
      <c r="I54" s="65"/>
    </row>
    <row r="55" spans="1:9" x14ac:dyDescent="0.35">
      <c r="A55" s="12" t="s">
        <v>200</v>
      </c>
      <c r="B55" s="12" t="s">
        <v>201</v>
      </c>
      <c r="C55" s="12" t="s">
        <v>193</v>
      </c>
      <c r="D55" s="12" t="s">
        <v>194</v>
      </c>
      <c r="E55" s="38" t="s">
        <v>5</v>
      </c>
      <c r="F55" s="38" t="s">
        <v>195</v>
      </c>
      <c r="G55" s="12" t="s">
        <v>202</v>
      </c>
      <c r="H55" s="12" t="s">
        <v>203</v>
      </c>
      <c r="I55" s="12" t="s">
        <v>204</v>
      </c>
    </row>
    <row r="56" spans="1:9" x14ac:dyDescent="0.35">
      <c r="A56" s="6"/>
      <c r="B56" s="7"/>
      <c r="C56" s="6">
        <f>$B$3</f>
        <v>4</v>
      </c>
      <c r="D56" s="6" t="str">
        <f>IF(ISNUMBER(B56), B56*C56, "")</f>
        <v/>
      </c>
      <c r="E56" s="33" t="str">
        <f>IF(A56="","",VLOOKUP(A56, Base_Donnees!A:F, 6, FALSE))</f>
        <v/>
      </c>
      <c r="F56" s="33" t="str">
        <f>IF(ISNUMBER(D56), D56*E56, "")</f>
        <v/>
      </c>
      <c r="G56" s="6" t="str">
        <f>IF(A56="","",VLOOKUP(A56, Base_Donnees!A:F, 3, FALSE))</f>
        <v/>
      </c>
      <c r="H56" s="6" t="str">
        <f>IF(A56="","",VLOOKUP(A56, Base_Donnees!A:F, 4, FALSE))</f>
        <v/>
      </c>
      <c r="I56" s="6" t="str">
        <f>IF(A56="","",VLOOKUP(A56, Base_Donnees!A:F, 5, FALSE))</f>
        <v/>
      </c>
    </row>
    <row r="57" spans="1:9" x14ac:dyDescent="0.35">
      <c r="A57" s="6"/>
      <c r="B57" s="7"/>
      <c r="C57" s="6">
        <f>$B$3</f>
        <v>4</v>
      </c>
      <c r="D57" s="6" t="str">
        <f>IF(ISNUMBER(B57), B57*C57, "")</f>
        <v/>
      </c>
      <c r="E57" s="33" t="str">
        <f>IF(A57="","",VLOOKUP(A57, Base_Donnees!A:F, 6, FALSE))</f>
        <v/>
      </c>
      <c r="F57" s="33" t="str">
        <f>IF(ISNUMBER(D57), D57*E57, "")</f>
        <v/>
      </c>
      <c r="G57" s="6" t="str">
        <f>IF(A57="","",VLOOKUP(A57, Base_Donnees!A:F, 3, FALSE))</f>
        <v/>
      </c>
      <c r="H57" s="6" t="str">
        <f>IF(A57="","",VLOOKUP(A57, Base_Donnees!A:F, 4, FALSE))</f>
        <v/>
      </c>
      <c r="I57" s="6" t="str">
        <f>IF(A57="","",VLOOKUP(A57, Base_Donnees!A:F, 5, FALSE))</f>
        <v/>
      </c>
    </row>
    <row r="58" spans="1:9" x14ac:dyDescent="0.35">
      <c r="A58" s="6"/>
      <c r="B58" s="7"/>
      <c r="C58" s="6">
        <f>$B$3</f>
        <v>4</v>
      </c>
      <c r="D58" s="6" t="str">
        <f>IF(ISNUMBER(B58), B58*C58, "")</f>
        <v/>
      </c>
      <c r="E58" s="33" t="str">
        <f>IF(A58="","",VLOOKUP(A58, Base_Donnees!A:F, 6, FALSE))</f>
        <v/>
      </c>
      <c r="F58" s="33" t="str">
        <f>IF(ISNUMBER(D58), D58*E58, "")</f>
        <v/>
      </c>
      <c r="G58" s="6" t="str">
        <f>IF(A58="","",VLOOKUP(A58, Base_Donnees!A:F, 3, FALSE))</f>
        <v/>
      </c>
      <c r="H58" s="6" t="str">
        <f>IF(A58="","",VLOOKUP(A58, Base_Donnees!A:F, 4, FALSE))</f>
        <v/>
      </c>
      <c r="I58" s="6" t="str">
        <f>IF(A58="","",VLOOKUP(A58, Base_Donnees!A:F, 5, FALSE))</f>
        <v/>
      </c>
    </row>
    <row r="59" spans="1:9" x14ac:dyDescent="0.35">
      <c r="E59" s="34" t="s">
        <v>205</v>
      </c>
      <c r="F59" s="37">
        <f>SUM(F56,F57,F58)</f>
        <v>0</v>
      </c>
    </row>
  </sheetData>
  <mergeCells count="13">
    <mergeCell ref="A54:I54"/>
    <mergeCell ref="A35:I35"/>
    <mergeCell ref="A7:I7"/>
    <mergeCell ref="A47:I47"/>
    <mergeCell ref="A1:I1"/>
    <mergeCell ref="A40:I40"/>
    <mergeCell ref="A18:I18"/>
    <mergeCell ref="A27:I27"/>
    <mergeCell ref="A8:I8"/>
    <mergeCell ref="A31:I31"/>
    <mergeCell ref="A22:I22"/>
    <mergeCell ref="A12:I12"/>
    <mergeCell ref="A26:I2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62"/>
  <sheetViews>
    <sheetView topLeftCell="A46" workbookViewId="0">
      <selection activeCell="B54" sqref="B54"/>
    </sheetView>
  </sheetViews>
  <sheetFormatPr baseColWidth="10" defaultColWidth="8.7265625" defaultRowHeight="14.5" x14ac:dyDescent="0.35"/>
  <cols>
    <col min="1" max="1" width="42" customWidth="1"/>
    <col min="2" max="3" width="15" customWidth="1"/>
    <col min="4" max="4" width="20" customWidth="1"/>
    <col min="5" max="6" width="20" style="21" customWidth="1"/>
    <col min="7" max="7" width="15" customWidth="1"/>
    <col min="8" max="8" width="20" customWidth="1"/>
    <col min="9" max="9" width="45" customWidth="1"/>
  </cols>
  <sheetData>
    <row r="1" spans="1:9" ht="19" x14ac:dyDescent="0.35">
      <c r="A1" s="68" t="s">
        <v>226</v>
      </c>
      <c r="B1" s="65"/>
      <c r="C1" s="65"/>
      <c r="D1" s="65"/>
      <c r="E1" s="65"/>
      <c r="F1" s="65"/>
      <c r="G1" s="65"/>
      <c r="H1" s="65"/>
      <c r="I1" s="65"/>
    </row>
    <row r="3" spans="1:9" x14ac:dyDescent="0.35">
      <c r="A3" t="s">
        <v>170</v>
      </c>
      <c r="B3" s="4">
        <v>4</v>
      </c>
    </row>
    <row r="4" spans="1:9" x14ac:dyDescent="0.35">
      <c r="A4" t="s">
        <v>171</v>
      </c>
      <c r="B4" s="4" t="s">
        <v>218</v>
      </c>
    </row>
    <row r="5" spans="1:9" x14ac:dyDescent="0.35">
      <c r="A5" t="s">
        <v>173</v>
      </c>
      <c r="B5" s="5" t="s">
        <v>225</v>
      </c>
    </row>
    <row r="7" spans="1:9" ht="16.5" x14ac:dyDescent="0.35">
      <c r="A7" s="67" t="s">
        <v>175</v>
      </c>
      <c r="B7" s="65"/>
      <c r="C7" s="65"/>
      <c r="D7" s="65"/>
      <c r="E7" s="65"/>
      <c r="F7" s="65"/>
      <c r="G7" s="65"/>
      <c r="H7" s="65"/>
      <c r="I7" s="65"/>
    </row>
    <row r="8" spans="1:9" x14ac:dyDescent="0.35">
      <c r="A8" s="66" t="s">
        <v>176</v>
      </c>
      <c r="B8" s="65"/>
      <c r="C8" s="65"/>
      <c r="D8" s="65"/>
      <c r="E8" s="65"/>
      <c r="F8" s="65"/>
      <c r="G8" s="65"/>
      <c r="H8" s="65"/>
      <c r="I8" s="65"/>
    </row>
    <row r="9" spans="1:9" x14ac:dyDescent="0.35">
      <c r="A9" s="1" t="s">
        <v>177</v>
      </c>
      <c r="B9" s="1" t="s">
        <v>178</v>
      </c>
      <c r="C9" s="1" t="s">
        <v>179</v>
      </c>
      <c r="D9" s="1" t="s">
        <v>180</v>
      </c>
      <c r="E9" s="32" t="s">
        <v>5</v>
      </c>
      <c r="F9" s="32" t="s">
        <v>181</v>
      </c>
      <c r="G9" s="1" t="s">
        <v>182</v>
      </c>
      <c r="H9" s="1" t="s">
        <v>183</v>
      </c>
      <c r="I9" s="1" t="s">
        <v>184</v>
      </c>
    </row>
    <row r="10" spans="1:9" x14ac:dyDescent="0.35">
      <c r="A10" s="6"/>
      <c r="B10" s="7"/>
      <c r="C10" s="7"/>
      <c r="D10" s="6" t="str">
        <f>IF(AND(ISNUMBER(B10), ISNUMBER(C10)), B10*C10*$B$3, "")</f>
        <v/>
      </c>
      <c r="E10" s="33" t="str">
        <f>IF(A10="","",VLOOKUP(A10, Base_Donnees!A:F, 6, FALSE))</f>
        <v/>
      </c>
      <c r="F10" s="33" t="str">
        <f>IF(ISNUMBER(D10), D10*E10, "")</f>
        <v/>
      </c>
      <c r="G10" s="6" t="str">
        <f>IF(A10="","",IF(ISNUMBER(D10), IFERROR((D10/VLOOKUP(A10, Base_Donnees!A:F, 3, FALSE))*1000, "-"), ""))</f>
        <v/>
      </c>
      <c r="H10" s="6" t="str">
        <f>IF(A10="","",VLOOKUP(A10, Base_Donnees!A:F, 4, FALSE))</f>
        <v/>
      </c>
      <c r="I10" s="6" t="str">
        <f>IF(A10="","",VLOOKUP(A10, Base_Donnees!A:F, 5, FALSE))</f>
        <v/>
      </c>
    </row>
    <row r="12" spans="1:9" x14ac:dyDescent="0.35">
      <c r="A12" s="66" t="s">
        <v>185</v>
      </c>
      <c r="B12" s="65"/>
      <c r="C12" s="65"/>
      <c r="D12" s="65"/>
      <c r="E12" s="65"/>
      <c r="F12" s="65"/>
      <c r="G12" s="65"/>
      <c r="H12" s="65"/>
      <c r="I12" s="65"/>
    </row>
    <row r="13" spans="1:9" x14ac:dyDescent="0.35">
      <c r="A13" s="1" t="s">
        <v>177</v>
      </c>
      <c r="B13" s="1" t="s">
        <v>178</v>
      </c>
      <c r="C13" s="1" t="s">
        <v>179</v>
      </c>
      <c r="D13" s="1" t="s">
        <v>180</v>
      </c>
      <c r="E13" s="32" t="s">
        <v>5</v>
      </c>
      <c r="F13" s="32" t="s">
        <v>181</v>
      </c>
      <c r="G13" s="1" t="s">
        <v>182</v>
      </c>
      <c r="H13" s="1" t="s">
        <v>183</v>
      </c>
      <c r="I13" s="1" t="s">
        <v>184</v>
      </c>
    </row>
    <row r="14" spans="1:9" x14ac:dyDescent="0.35">
      <c r="A14" s="6" t="s">
        <v>19</v>
      </c>
      <c r="B14" s="7">
        <v>6</v>
      </c>
      <c r="C14" s="7">
        <v>5</v>
      </c>
      <c r="D14" s="6">
        <f>IF(AND(ISNUMBER(B14), ISNUMBER(C14)), B14*C14*$B$3, "")</f>
        <v>120</v>
      </c>
      <c r="E14" s="33">
        <f>IF(A14="","",VLOOKUP(A14, Base_Donnees!A:F, 6, FALSE))</f>
        <v>45</v>
      </c>
      <c r="F14" s="33">
        <f>IF(ISNUMBER(D14), D14*E14, "")</f>
        <v>5400</v>
      </c>
      <c r="G14" s="6">
        <f>IF(A14="","",IF(ISNUMBER(D14), IFERROR((D14/VLOOKUP(A14, Base_Donnees!A:F, 3, FALSE))*1000, "-"), ""))</f>
        <v>1142.8571428571429</v>
      </c>
      <c r="H14" s="6" t="str">
        <f>IF(A14="","",VLOOKUP(A14, Base_Donnees!A:F, 4, FALSE))</f>
        <v>5 min</v>
      </c>
      <c r="I14" s="6" t="str">
        <f>IF(A14="","",VLOOKUP(A14, Base_Donnees!A:F, 5, FALSE))</f>
        <v>Très soluble. Refroidit l'eau (endothermique).</v>
      </c>
    </row>
    <row r="15" spans="1:9" x14ac:dyDescent="0.35">
      <c r="A15" s="6" t="s">
        <v>24</v>
      </c>
      <c r="B15" s="7">
        <v>4</v>
      </c>
      <c r="C15" s="7">
        <v>5</v>
      </c>
      <c r="D15" s="6">
        <f>IF(AND(ISNUMBER(B15), ISNUMBER(C15)), B15*C15*$B$3, "")</f>
        <v>80</v>
      </c>
      <c r="E15" s="33">
        <f>IF(A15="","",VLOOKUP(A15, Base_Donnees!A:F, 6, FALSE))</f>
        <v>26</v>
      </c>
      <c r="F15" s="33">
        <f>IF(ISNUMBER(D15), D15*E15, "")</f>
        <v>2080</v>
      </c>
      <c r="G15" s="6">
        <f>IF(A15="","",IF(ISNUMBER(D15), IFERROR((D15/VLOOKUP(A15, Base_Donnees!A:F, 3, FALSE))*1000, "-"), ""))</f>
        <v>2666.6666666666665</v>
      </c>
      <c r="H15" s="6" t="str">
        <f>IF(A15="","",VLOOKUP(A15, Base_Donnees!A:F, 4, FALSE))</f>
        <v>15 min</v>
      </c>
      <c r="I15" s="6" t="str">
        <f>IF(A15="","",VLOOKUP(A15, Base_Donnees!A:F, 5, FALSE))</f>
        <v>Sensible à l'eau froide du puits.</v>
      </c>
    </row>
    <row r="16" spans="1:9" x14ac:dyDescent="0.35">
      <c r="A16" s="6" t="s">
        <v>32</v>
      </c>
      <c r="B16" s="7">
        <v>2.5</v>
      </c>
      <c r="C16" s="7">
        <v>5</v>
      </c>
      <c r="D16" s="6">
        <f>IF(AND(ISNUMBER(B16), ISNUMBER(C16)), B16*C16*$B$3, "")</f>
        <v>50</v>
      </c>
      <c r="E16" s="33">
        <f>IF(A16="","",VLOOKUP(A16, Base_Donnees!A:F, 6, FALSE))</f>
        <v>260</v>
      </c>
      <c r="F16" s="33">
        <f>IF(ISNUMBER(D16), D16*E16, "")</f>
        <v>13000</v>
      </c>
      <c r="G16" s="6">
        <f>IF(A16="","",IF(ISNUMBER(D16), IFERROR((D16/VLOOKUP(A16, Base_Donnees!A:F, 3, FALSE))*1000, "-"), ""))</f>
        <v>714.28571428571433</v>
      </c>
      <c r="H16" s="6" t="str">
        <f>IF(A16="","",VLOOKUP(A16, Base_Donnees!A:F, 4, FALSE))</f>
        <v>8 min</v>
      </c>
      <c r="I16" s="6" t="str">
        <f>IF(A16="","",VLOOKUP(A16, Base_Donnees!A:F, 5, FALSE))</f>
        <v>Excellente source de magnésium soluble.</v>
      </c>
    </row>
    <row r="18" spans="1:9" x14ac:dyDescent="0.35">
      <c r="A18" s="66" t="s">
        <v>186</v>
      </c>
      <c r="B18" s="65"/>
      <c r="C18" s="65"/>
      <c r="D18" s="65"/>
      <c r="E18" s="65"/>
      <c r="F18" s="65"/>
      <c r="G18" s="65"/>
      <c r="H18" s="65"/>
      <c r="I18" s="65"/>
    </row>
    <row r="19" spans="1:9" x14ac:dyDescent="0.35">
      <c r="A19" s="1" t="s">
        <v>177</v>
      </c>
      <c r="B19" s="1" t="s">
        <v>178</v>
      </c>
      <c r="C19" s="1" t="s">
        <v>179</v>
      </c>
      <c r="D19" s="1" t="s">
        <v>180</v>
      </c>
      <c r="E19" s="32" t="s">
        <v>5</v>
      </c>
      <c r="F19" s="32" t="s">
        <v>181</v>
      </c>
      <c r="G19" s="1" t="s">
        <v>182</v>
      </c>
      <c r="H19" s="1" t="s">
        <v>183</v>
      </c>
      <c r="I19" s="1" t="s">
        <v>184</v>
      </c>
    </row>
    <row r="20" spans="1:9" x14ac:dyDescent="0.35">
      <c r="A20" s="6"/>
      <c r="B20" s="7"/>
      <c r="C20" s="7"/>
      <c r="D20" s="6" t="str">
        <f>IF(AND(ISNUMBER(B20), ISNUMBER(C20)), B20*C20*$B$3, "")</f>
        <v/>
      </c>
      <c r="E20" s="33" t="str">
        <f>IF(A20="","",VLOOKUP(A20, Base_Donnees!A:F, 6, FALSE))</f>
        <v/>
      </c>
      <c r="F20" s="33" t="str">
        <f>IF(ISNUMBER(D20), D20*E20, "")</f>
        <v/>
      </c>
      <c r="G20" s="6" t="str">
        <f>IF(A20="","",IF(ISNUMBER(D20), IFERROR((D20/VLOOKUP(A20, Base_Donnees!A:F, 3, FALSE))*1000, "-"), ""))</f>
        <v/>
      </c>
      <c r="H20" s="6" t="str">
        <f>IF(A20="","",VLOOKUP(A20, Base_Donnees!A:F, 4, FALSE))</f>
        <v/>
      </c>
      <c r="I20" s="6" t="str">
        <f>IF(A20="","",VLOOKUP(A20, Base_Donnees!A:F, 5, FALSE))</f>
        <v/>
      </c>
    </row>
    <row r="22" spans="1:9" x14ac:dyDescent="0.35">
      <c r="A22" s="66" t="s">
        <v>187</v>
      </c>
      <c r="B22" s="65"/>
      <c r="C22" s="65"/>
      <c r="D22" s="65"/>
      <c r="E22" s="65"/>
      <c r="F22" s="65"/>
      <c r="G22" s="65"/>
      <c r="H22" s="65"/>
      <c r="I22" s="65"/>
    </row>
    <row r="23" spans="1:9" x14ac:dyDescent="0.35">
      <c r="A23" s="1" t="s">
        <v>177</v>
      </c>
      <c r="B23" s="1" t="s">
        <v>178</v>
      </c>
      <c r="C23" s="1" t="s">
        <v>179</v>
      </c>
      <c r="D23" s="1" t="s">
        <v>180</v>
      </c>
      <c r="E23" s="32" t="s">
        <v>5</v>
      </c>
      <c r="F23" s="32" t="s">
        <v>181</v>
      </c>
      <c r="G23" s="1" t="s">
        <v>182</v>
      </c>
      <c r="H23" s="1" t="s">
        <v>183</v>
      </c>
      <c r="I23" s="1" t="s">
        <v>184</v>
      </c>
    </row>
    <row r="24" spans="1:9" x14ac:dyDescent="0.35">
      <c r="A24" s="6" t="s">
        <v>55</v>
      </c>
      <c r="B24" s="7">
        <v>1</v>
      </c>
      <c r="C24" s="7">
        <v>5</v>
      </c>
      <c r="D24" s="6">
        <f>IF(AND(ISNUMBER(B24), ISNUMBER(C24)), B24*C24*$B$3, "")</f>
        <v>20</v>
      </c>
      <c r="E24" s="33">
        <f>IF(A24="","",VLOOKUP(A24, Base_Donnees!A:F, 6, FALSE))</f>
        <v>378.15</v>
      </c>
      <c r="F24" s="33">
        <f>IF(ISNUMBER(D24), D24*E24, "")</f>
        <v>7563</v>
      </c>
      <c r="G24" s="6">
        <f>IF(A24="","",IF(ISNUMBER(D24), IFERROR((D24/VLOOKUP(A24, Base_Donnees!A:F, 3, FALSE))*1000, "-"), ""))</f>
        <v>4</v>
      </c>
      <c r="H24" s="6" t="str">
        <f>IF(A24="","",VLOOKUP(A24, Base_Donnees!A:F, 4, FALSE))</f>
        <v>1 min</v>
      </c>
      <c r="I24" s="6" t="str">
        <f>IF(A24="","",VLOOKUP(A24, Base_Donnees!A:F, 5, FALSE))</f>
        <v>CORROSIF : Gants + lunettes obligatoires.</v>
      </c>
    </row>
    <row r="25" spans="1:9" x14ac:dyDescent="0.35">
      <c r="A25" s="6" t="s">
        <v>65</v>
      </c>
      <c r="B25" s="7">
        <v>1</v>
      </c>
      <c r="C25" s="7">
        <v>5</v>
      </c>
      <c r="D25" s="6">
        <f>IF(AND(ISNUMBER(B25), ISNUMBER(C25)), B25*C25*$B$3, "")</f>
        <v>20</v>
      </c>
      <c r="E25" s="33">
        <f>IF(A25="","",VLOOKUP(A25, Base_Donnees!A:F, 6, FALSE))</f>
        <v>410.55</v>
      </c>
      <c r="F25" s="33">
        <f>IF(ISNUMBER(D25), D25*E25, "")</f>
        <v>8211</v>
      </c>
      <c r="G25" s="6">
        <f>IF(A25="","",IF(ISNUMBER(D25), IFERROR((D25/VLOOKUP(A25, Base_Donnees!A:F, 3, FALSE))*1000, "-"), ""))</f>
        <v>33.898305084745765</v>
      </c>
      <c r="H25" s="6" t="str">
        <f>IF(A25="","",VLOOKUP(A25, Base_Donnees!A:F, 4, FALSE))</f>
        <v>4 min</v>
      </c>
      <c r="I25" s="6" t="str">
        <f>IF(A25="","",VLOOKUP(A25, Base_Donnees!A:F, 5, FALSE))</f>
        <v>Idéal pour chélater et nettoyer les goutteurs.</v>
      </c>
    </row>
    <row r="27" spans="1:9" ht="16.5" x14ac:dyDescent="0.35">
      <c r="A27" s="69" t="s">
        <v>188</v>
      </c>
      <c r="B27" s="65"/>
      <c r="C27" s="65"/>
      <c r="D27" s="65"/>
      <c r="E27" s="65"/>
      <c r="F27" s="65"/>
      <c r="G27" s="65"/>
      <c r="H27" s="65"/>
      <c r="I27" s="65"/>
    </row>
    <row r="28" spans="1:9" x14ac:dyDescent="0.35">
      <c r="A28" s="66" t="s">
        <v>176</v>
      </c>
      <c r="B28" s="65"/>
      <c r="C28" s="65"/>
      <c r="D28" s="65"/>
      <c r="E28" s="65"/>
      <c r="F28" s="65"/>
      <c r="G28" s="65"/>
      <c r="H28" s="65"/>
      <c r="I28" s="65"/>
    </row>
    <row r="29" spans="1:9" x14ac:dyDescent="0.35">
      <c r="A29" s="1" t="s">
        <v>177</v>
      </c>
      <c r="B29" s="1" t="s">
        <v>178</v>
      </c>
      <c r="C29" s="1" t="s">
        <v>179</v>
      </c>
      <c r="D29" s="1" t="s">
        <v>180</v>
      </c>
      <c r="E29" s="32" t="s">
        <v>5</v>
      </c>
      <c r="F29" s="32" t="s">
        <v>181</v>
      </c>
      <c r="G29" s="1" t="s">
        <v>182</v>
      </c>
      <c r="H29" s="1" t="s">
        <v>183</v>
      </c>
      <c r="I29" s="1" t="s">
        <v>184</v>
      </c>
    </row>
    <row r="30" spans="1:9" x14ac:dyDescent="0.35">
      <c r="A30" s="6" t="s">
        <v>12</v>
      </c>
      <c r="B30" s="7">
        <v>5</v>
      </c>
      <c r="C30" s="7">
        <v>1</v>
      </c>
      <c r="D30" s="6">
        <f>IF(AND(ISNUMBER(B30), ISNUMBER(C30)), B30*C30*$B$3, "")</f>
        <v>20</v>
      </c>
      <c r="E30" s="33">
        <f>IF(A30="","",VLOOKUP(A30, Base_Donnees!A:F, 6, FALSE))</f>
        <v>160</v>
      </c>
      <c r="F30" s="33">
        <f>IF(ISNUMBER(D30), D30*E30, "")</f>
        <v>3200</v>
      </c>
      <c r="G30" s="6">
        <f>IF(A30="","",IF(ISNUMBER(D30), IFERROR((D30/VLOOKUP(A30, Base_Donnees!A:F, 3, FALSE))*1000, "-"), ""))</f>
        <v>166.66666666666666</v>
      </c>
      <c r="H30" s="6" t="str">
        <f>IF(A30="","",VLOOKUP(A30, Base_Donnees!A:F, 4, FALSE))</f>
        <v>6 min</v>
      </c>
      <c r="I30" s="6" t="str">
        <f>IF(A30="","",VLOOKUP(A30, Base_Donnees!A:F, 5, FALSE))</f>
        <v>CRITIQUE : Isoler totalement des Sulfates/Phosphates.</v>
      </c>
    </row>
    <row r="32" spans="1:9" x14ac:dyDescent="0.35">
      <c r="A32" s="66" t="s">
        <v>185</v>
      </c>
      <c r="B32" s="65"/>
      <c r="C32" s="65"/>
      <c r="D32" s="65"/>
      <c r="E32" s="65"/>
      <c r="F32" s="65"/>
      <c r="G32" s="65"/>
      <c r="H32" s="65"/>
      <c r="I32" s="65"/>
    </row>
    <row r="33" spans="1:9" x14ac:dyDescent="0.35">
      <c r="A33" s="1" t="s">
        <v>177</v>
      </c>
      <c r="B33" s="1" t="s">
        <v>178</v>
      </c>
      <c r="C33" s="1" t="s">
        <v>179</v>
      </c>
      <c r="D33" s="1" t="s">
        <v>180</v>
      </c>
      <c r="E33" s="32" t="s">
        <v>5</v>
      </c>
      <c r="F33" s="32" t="s">
        <v>181</v>
      </c>
      <c r="G33" s="1" t="s">
        <v>182</v>
      </c>
      <c r="H33" s="1" t="s">
        <v>183</v>
      </c>
      <c r="I33" s="1" t="s">
        <v>184</v>
      </c>
    </row>
    <row r="34" spans="1:9" x14ac:dyDescent="0.35">
      <c r="A34" s="6"/>
      <c r="B34" s="7"/>
      <c r="C34" s="7"/>
      <c r="D34" s="6" t="str">
        <f>IF(AND(ISNUMBER(B34), ISNUMBER(C34)), B34*C34*$B$3, "")</f>
        <v/>
      </c>
      <c r="E34" s="33" t="str">
        <f>IF(A34="","",VLOOKUP(A34, Base_Donnees!A:F, 6, FALSE))</f>
        <v/>
      </c>
      <c r="F34" s="33" t="str">
        <f>IF(ISNUMBER(D34), D34*E34, "")</f>
        <v/>
      </c>
      <c r="G34" s="6" t="str">
        <f>IF(A34="","",IF(ISNUMBER(D34), IFERROR((D34/VLOOKUP(A34, Base_Donnees!A:F, 3, FALSE))*1000, "-"), ""))</f>
        <v/>
      </c>
      <c r="H34" s="6" t="str">
        <f>IF(A34="","",VLOOKUP(A34, Base_Donnees!A:F, 4, FALSE))</f>
        <v/>
      </c>
      <c r="I34" s="6" t="str">
        <f>IF(A34="","",VLOOKUP(A34, Base_Donnees!A:F, 5, FALSE))</f>
        <v/>
      </c>
    </row>
    <row r="36" spans="1:9" x14ac:dyDescent="0.35">
      <c r="A36" s="66" t="s">
        <v>186</v>
      </c>
      <c r="B36" s="65"/>
      <c r="C36" s="65"/>
      <c r="D36" s="65"/>
      <c r="E36" s="65"/>
      <c r="F36" s="65"/>
      <c r="G36" s="65"/>
      <c r="H36" s="65"/>
      <c r="I36" s="65"/>
    </row>
    <row r="37" spans="1:9" x14ac:dyDescent="0.35">
      <c r="A37" s="1" t="s">
        <v>177</v>
      </c>
      <c r="B37" s="1" t="s">
        <v>178</v>
      </c>
      <c r="C37" s="1" t="s">
        <v>179</v>
      </c>
      <c r="D37" s="1" t="s">
        <v>180</v>
      </c>
      <c r="E37" s="32" t="s">
        <v>5</v>
      </c>
      <c r="F37" s="32" t="s">
        <v>181</v>
      </c>
      <c r="G37" s="1" t="s">
        <v>182</v>
      </c>
      <c r="H37" s="1" t="s">
        <v>183</v>
      </c>
      <c r="I37" s="1" t="s">
        <v>184</v>
      </c>
    </row>
    <row r="38" spans="1:9" x14ac:dyDescent="0.35">
      <c r="A38" s="6" t="s">
        <v>50</v>
      </c>
      <c r="B38" s="7">
        <v>10</v>
      </c>
      <c r="C38" s="7">
        <v>1</v>
      </c>
      <c r="D38" s="6">
        <f>IF(AND(ISNUMBER(B38), ISNUMBER(C38)), B38*C38*$B$3, "")</f>
        <v>40</v>
      </c>
      <c r="E38" s="33">
        <f>IF(A38="","",VLOOKUP(A38, Base_Donnees!A:F, 6, FALSE))</f>
        <v>2200</v>
      </c>
      <c r="F38" s="33">
        <f>IF(ISNUMBER(D38), D38*E38, "")</f>
        <v>88000</v>
      </c>
      <c r="G38" s="6" t="str">
        <f>IF(A38="","",IF(ISNUMBER(D38), IFERROR((D38/VLOOKUP(A38, Base_Donnees!A:F, 3, FALSE))*1000, "-"), ""))</f>
        <v>-</v>
      </c>
      <c r="H38" s="6" t="str">
        <f>IF(A38="","",VLOOKUP(A38, Base_Donnees!A:F, 4, FALSE))</f>
        <v>-</v>
      </c>
      <c r="I38" s="6" t="str">
        <f>IF(A38="","",VLOOKUP(A38, Base_Donnees!A:F, 5, FALSE))</f>
        <v>Stimulant organique complexe à injecter à part.</v>
      </c>
    </row>
    <row r="39" spans="1:9" x14ac:dyDescent="0.35">
      <c r="A39" s="6" t="s">
        <v>42</v>
      </c>
      <c r="B39" s="7">
        <v>5</v>
      </c>
      <c r="C39" s="7">
        <v>1</v>
      </c>
      <c r="D39" s="6">
        <f>IF(AND(ISNUMBER(B39), ISNUMBER(C39)), B39*C39*$B$3, "")</f>
        <v>20</v>
      </c>
      <c r="E39" s="33">
        <f>IF(A39="","",VLOOKUP(A39, Base_Donnees!A:F, 6, FALSE))</f>
        <v>420</v>
      </c>
      <c r="F39" s="33">
        <f>IF(ISNUMBER(D39), D39*E39, "")</f>
        <v>8400</v>
      </c>
      <c r="G39" s="6">
        <f>IF(A39="","",IF(ISNUMBER(D39), IFERROR((D39/VLOOKUP(A39, Base_Donnees!A:F, 3, FALSE))*1000, "-"), ""))</f>
        <v>400</v>
      </c>
      <c r="H39" s="6" t="str">
        <f>IF(A39="","",VLOOKUP(A39, Base_Donnees!A:F, 4, FALSE))</f>
        <v>15 min</v>
      </c>
      <c r="I39" s="6" t="str">
        <f>IF(A39="","",VLOOKUP(A39, Base_Donnees!A:F, 5, FALSE))</f>
        <v>Améliore la structure du sol et l'assimilation.</v>
      </c>
    </row>
    <row r="40" spans="1:9" x14ac:dyDescent="0.35">
      <c r="A40" s="6" t="s">
        <v>46</v>
      </c>
      <c r="B40" s="7">
        <v>0.5</v>
      </c>
      <c r="C40" s="7">
        <v>1</v>
      </c>
      <c r="D40" s="6">
        <f>IF(AND(ISNUMBER(B40), ISNUMBER(C40)), B40*C40*$B$3, "")</f>
        <v>2</v>
      </c>
      <c r="E40" s="33">
        <f>IF(A40="","",VLOOKUP(A40, Base_Donnees!A:F, 6, FALSE))</f>
        <v>3200</v>
      </c>
      <c r="F40" s="33">
        <f>IF(ISNUMBER(D40), D40*E40, "")</f>
        <v>6400</v>
      </c>
      <c r="G40" s="6">
        <f>IF(A40="","",IF(ISNUMBER(D40), IFERROR((D40/VLOOKUP(A40, Base_Donnees!A:F, 3, FALSE))*1000, "-"), ""))</f>
        <v>22.222222222222221</v>
      </c>
      <c r="H40" s="6" t="str">
        <f>IF(A40="","",VLOOKUP(A40, Base_Donnees!A:F, 4, FALSE))</f>
        <v>8 min</v>
      </c>
      <c r="I40" s="6" t="str">
        <f>IF(A40="","",VLOOKUP(A40, Base_Donnees!A:F, 5, FALSE))</f>
        <v>Indispensable contre la chlorose en sol calcaire.</v>
      </c>
    </row>
    <row r="42" spans="1:9" x14ac:dyDescent="0.35">
      <c r="A42" s="66" t="s">
        <v>187</v>
      </c>
      <c r="B42" s="65"/>
      <c r="C42" s="65"/>
      <c r="D42" s="65"/>
      <c r="E42" s="65"/>
      <c r="F42" s="65"/>
      <c r="G42" s="65"/>
      <c r="H42" s="65"/>
      <c r="I42" s="65"/>
    </row>
    <row r="43" spans="1:9" x14ac:dyDescent="0.35">
      <c r="A43" s="1" t="s">
        <v>177</v>
      </c>
      <c r="B43" s="1" t="s">
        <v>178</v>
      </c>
      <c r="C43" s="1" t="s">
        <v>179</v>
      </c>
      <c r="D43" s="1" t="s">
        <v>180</v>
      </c>
      <c r="E43" s="32" t="s">
        <v>5</v>
      </c>
      <c r="F43" s="32" t="s">
        <v>181</v>
      </c>
      <c r="G43" s="1" t="s">
        <v>182</v>
      </c>
      <c r="H43" s="1" t="s">
        <v>183</v>
      </c>
      <c r="I43" s="1" t="s">
        <v>184</v>
      </c>
    </row>
    <row r="44" spans="1:9" x14ac:dyDescent="0.35">
      <c r="A44" s="6" t="s">
        <v>65</v>
      </c>
      <c r="B44" s="7">
        <v>1</v>
      </c>
      <c r="C44" s="7">
        <v>1</v>
      </c>
      <c r="D44" s="6">
        <f>IF(AND(ISNUMBER(B44), ISNUMBER(C44)), B44*C44*$B$3, "")</f>
        <v>4</v>
      </c>
      <c r="E44" s="33">
        <f>IF(A44="","",VLOOKUP(A44, Base_Donnees!A:F, 6, FALSE))</f>
        <v>410.55</v>
      </c>
      <c r="F44" s="33">
        <f>IF(ISNUMBER(D44), D44*E44, "")</f>
        <v>1642.2</v>
      </c>
      <c r="G44" s="6">
        <f>IF(A44="","",IF(ISNUMBER(D44), IFERROR((D44/VLOOKUP(A44, Base_Donnees!A:F, 3, FALSE))*1000, "-"), ""))</f>
        <v>6.7796610169491522</v>
      </c>
      <c r="H44" s="6" t="str">
        <f>IF(A44="","",VLOOKUP(A44, Base_Donnees!A:F, 4, FALSE))</f>
        <v>4 min</v>
      </c>
      <c r="I44" s="6" t="str">
        <f>IF(A44="","",VLOOKUP(A44, Base_Donnees!A:F, 5, FALSE))</f>
        <v>Idéal pour chélater et nettoyer les goutteurs.</v>
      </c>
    </row>
    <row r="45" spans="1:9" x14ac:dyDescent="0.35">
      <c r="A45" s="6" t="s">
        <v>55</v>
      </c>
      <c r="B45" s="7">
        <v>1</v>
      </c>
      <c r="C45" s="7">
        <v>1</v>
      </c>
      <c r="D45" s="6">
        <f>IF(AND(ISNUMBER(B45), ISNUMBER(C45)), B45*C45*$B$3, "")</f>
        <v>4</v>
      </c>
      <c r="E45" s="33">
        <f>IF(A45="","",VLOOKUP(A45, Base_Donnees!A:F, 6, FALSE))</f>
        <v>378.15</v>
      </c>
      <c r="F45" s="33">
        <f>IF(ISNUMBER(D45), D45*E45, "")</f>
        <v>1512.6</v>
      </c>
      <c r="G45" s="6">
        <f>IF(A45="","",IF(ISNUMBER(D45), IFERROR((D45/VLOOKUP(A45, Base_Donnees!A:F, 3, FALSE))*1000, "-"), ""))</f>
        <v>0.8</v>
      </c>
      <c r="H45" s="6" t="str">
        <f>IF(A45="","",VLOOKUP(A45, Base_Donnees!A:F, 4, FALSE))</f>
        <v>1 min</v>
      </c>
      <c r="I45" s="6" t="str">
        <f>IF(A45="","",VLOOKUP(A45, Base_Donnees!A:F, 5, FALSE))</f>
        <v>CORROSIF : Gants + lunettes obligatoires.</v>
      </c>
    </row>
    <row r="47" spans="1:9" x14ac:dyDescent="0.35">
      <c r="E47" s="34" t="s">
        <v>189</v>
      </c>
      <c r="F47" s="35">
        <f>SUM(F10,F14,F15,F16,F20,F24,F25,F30,F34,F38,F39,F40,F44,F45)</f>
        <v>145408.80000000002</v>
      </c>
    </row>
    <row r="49" spans="1:9" x14ac:dyDescent="0.35">
      <c r="A49" s="64" t="s">
        <v>190</v>
      </c>
      <c r="B49" s="65"/>
      <c r="C49" s="65"/>
      <c r="D49" s="65"/>
      <c r="E49" s="65"/>
      <c r="F49" s="65"/>
      <c r="G49" s="65"/>
      <c r="H49" s="65"/>
      <c r="I49" s="65"/>
    </row>
    <row r="50" spans="1:9" x14ac:dyDescent="0.35">
      <c r="A50" s="10" t="s">
        <v>191</v>
      </c>
      <c r="B50" s="10" t="s">
        <v>192</v>
      </c>
      <c r="C50" s="10" t="s">
        <v>193</v>
      </c>
      <c r="D50" s="10" t="s">
        <v>194</v>
      </c>
      <c r="E50" s="36" t="s">
        <v>5</v>
      </c>
      <c r="F50" s="36" t="s">
        <v>195</v>
      </c>
      <c r="G50" s="10" t="s">
        <v>196</v>
      </c>
      <c r="H50" s="10" t="s">
        <v>197</v>
      </c>
      <c r="I50" s="10"/>
    </row>
    <row r="51" spans="1:9" x14ac:dyDescent="0.35">
      <c r="A51" s="6" t="s">
        <v>73</v>
      </c>
      <c r="B51" s="7">
        <v>2.5</v>
      </c>
      <c r="C51" s="6">
        <f>$B$3</f>
        <v>4</v>
      </c>
      <c r="D51" s="6">
        <f>IF(ISNUMBER(B51), B51*C51, "")</f>
        <v>10</v>
      </c>
      <c r="E51" s="33">
        <f>IF(A51="","",VLOOKUP(A51, Base_Donnees!A:F, 6, FALSE))</f>
        <v>1500</v>
      </c>
      <c r="F51" s="33">
        <f>IF(ISNUMBER(D51), D51*E51, "")</f>
        <v>15000</v>
      </c>
      <c r="G51" s="6" t="str">
        <f>IF(A51="","",VLOOKUP(A51, Base_Donnees!A:F, 5, FALSE))</f>
        <v>Anti-stress foliaire post-Sirocco.</v>
      </c>
      <c r="H51" s="6" t="str">
        <f>IF(A51="","",VLOOKUP(A51, Base_Donnees!A:F, 4, FALSE))</f>
        <v>Relance végétative</v>
      </c>
      <c r="I51" s="6"/>
    </row>
    <row r="52" spans="1:9" x14ac:dyDescent="0.35">
      <c r="A52" s="6" t="s">
        <v>37</v>
      </c>
      <c r="B52" s="7">
        <v>1.5</v>
      </c>
      <c r="C52" s="6">
        <f>$B$3</f>
        <v>4</v>
      </c>
      <c r="D52" s="6">
        <f>IF(ISNUMBER(B52), B52*C52, "")</f>
        <v>6</v>
      </c>
      <c r="E52" s="33">
        <f>IF(A52="","",VLOOKUP(A52, Base_Donnees!A:F, 6, FALSE))</f>
        <v>3450</v>
      </c>
      <c r="F52" s="33">
        <f>IF(ISNUMBER(D52), D52*E52, "")</f>
        <v>20700</v>
      </c>
      <c r="G52" s="6" t="str">
        <f>IF(A52="","",VLOOKUP(A52, Base_Donnees!A:F, 5, FALSE))</f>
        <v>Mélange complet d'oligo-éléments chélatés.</v>
      </c>
      <c r="H52" s="6" t="str">
        <f>IF(A52="","",VLOOKUP(A52, Base_Donnees!A:F, 4, FALSE))</f>
        <v>10 min</v>
      </c>
      <c r="I52" s="6"/>
    </row>
    <row r="53" spans="1:9" x14ac:dyDescent="0.35">
      <c r="A53" s="6" t="s">
        <v>78</v>
      </c>
      <c r="B53" s="7">
        <v>2.5</v>
      </c>
      <c r="C53" s="6">
        <f>$B$3</f>
        <v>4</v>
      </c>
      <c r="D53" s="6">
        <f>IF(ISNUMBER(B53), B53*C53, "")</f>
        <v>10</v>
      </c>
      <c r="E53" s="33">
        <f>IF(A53="","",VLOOKUP(A53, Base_Donnees!A:F, 6, FALSE))</f>
        <v>2000</v>
      </c>
      <c r="F53" s="33">
        <f>IF(ISNUMBER(D53), D53*E53, "")</f>
        <v>20000</v>
      </c>
      <c r="G53" s="6" t="str">
        <f>IF(A53="","",VLOOKUP(A53, Base_Donnees!A:F, 5, FALSE))</f>
        <v>Soutien de la vigueur foliaire et division.</v>
      </c>
      <c r="H53" s="6" t="str">
        <f>IF(A53="","",VLOOKUP(A53, Base_Donnees!A:F, 4, FALSE))</f>
        <v>Extrait d'algues</v>
      </c>
      <c r="I53" s="6"/>
    </row>
    <row r="54" spans="1:9" x14ac:dyDescent="0.35">
      <c r="A54" s="3" t="s">
        <v>87</v>
      </c>
      <c r="B54" s="7">
        <v>3.5</v>
      </c>
      <c r="C54" s="6">
        <f>$B$3</f>
        <v>4</v>
      </c>
      <c r="D54" s="6">
        <f>IF(ISNUMBER(B54), B54*C54, "")</f>
        <v>14</v>
      </c>
      <c r="E54" s="33">
        <f>IF(A54="","",VLOOKUP(A54, Base_Donnees!A:F, 6, FALSE))</f>
        <v>2000</v>
      </c>
      <c r="F54" s="33">
        <f>IF(ISNUMBER(D54), D54*E54, "")</f>
        <v>28000</v>
      </c>
      <c r="G54" s="6" t="str">
        <f>IF(A54="","",VLOOKUP(A54, Base_Donnees!A:F, 5, FALSE))</f>
        <v>Allongement et calibre cellulaire (5 pastilles/1000L).</v>
      </c>
      <c r="H54" s="6" t="str">
        <f>IF(A54="","",VLOOKUP(A54, Base_Donnees!A:F, 4, FALSE))</f>
        <v>Hormonal</v>
      </c>
    </row>
    <row r="55" spans="1:9" x14ac:dyDescent="0.35">
      <c r="E55" s="34" t="s">
        <v>198</v>
      </c>
      <c r="F55" s="37">
        <f>SUM(F51,F52,F53)</f>
        <v>55700</v>
      </c>
    </row>
    <row r="57" spans="1:9" x14ac:dyDescent="0.35">
      <c r="A57" s="64" t="s">
        <v>199</v>
      </c>
      <c r="B57" s="65"/>
      <c r="C57" s="65"/>
      <c r="D57" s="65"/>
      <c r="E57" s="65"/>
      <c r="F57" s="65"/>
      <c r="G57" s="65"/>
      <c r="H57" s="65"/>
      <c r="I57" s="65"/>
    </row>
    <row r="58" spans="1:9" x14ac:dyDescent="0.35">
      <c r="A58" s="12" t="s">
        <v>200</v>
      </c>
      <c r="B58" s="12" t="s">
        <v>201</v>
      </c>
      <c r="C58" s="12" t="s">
        <v>193</v>
      </c>
      <c r="D58" s="12" t="s">
        <v>194</v>
      </c>
      <c r="E58" s="38" t="s">
        <v>5</v>
      </c>
      <c r="F58" s="38" t="s">
        <v>195</v>
      </c>
      <c r="G58" s="12" t="s">
        <v>202</v>
      </c>
      <c r="H58" s="12" t="s">
        <v>203</v>
      </c>
      <c r="I58" s="12" t="s">
        <v>204</v>
      </c>
    </row>
    <row r="59" spans="1:9" x14ac:dyDescent="0.35">
      <c r="A59" s="6"/>
      <c r="B59" s="7"/>
      <c r="C59" s="6">
        <f>$B$3</f>
        <v>4</v>
      </c>
      <c r="D59" s="6" t="str">
        <f>IF(ISNUMBER(B59), B59*C59, "")</f>
        <v/>
      </c>
      <c r="E59" s="33" t="str">
        <f>IF(A59="","",VLOOKUP(A59, Base_Donnees!A:F, 6, FALSE))</f>
        <v/>
      </c>
      <c r="F59" s="33" t="str">
        <f>IF(ISNUMBER(D59), D59*E59, "")</f>
        <v/>
      </c>
      <c r="G59" s="6" t="str">
        <f>IF(A59="","",VLOOKUP(A59, Base_Donnees!A:F, 3, FALSE))</f>
        <v/>
      </c>
      <c r="H59" s="6" t="str">
        <f>IF(A59="","",VLOOKUP(A59, Base_Donnees!A:F, 4, FALSE))</f>
        <v/>
      </c>
      <c r="I59" s="6" t="str">
        <f>IF(A59="","",VLOOKUP(A59, Base_Donnees!A:F, 5, FALSE))</f>
        <v/>
      </c>
    </row>
    <row r="60" spans="1:9" x14ac:dyDescent="0.35">
      <c r="A60" s="6"/>
      <c r="B60" s="7"/>
      <c r="C60" s="6">
        <f>$B$3</f>
        <v>4</v>
      </c>
      <c r="D60" s="6" t="str">
        <f>IF(ISNUMBER(B60), B60*C60, "")</f>
        <v/>
      </c>
      <c r="E60" s="33" t="str">
        <f>IF(A60="","",VLOOKUP(A60, Base_Donnees!A:F, 6, FALSE))</f>
        <v/>
      </c>
      <c r="F60" s="33" t="str">
        <f>IF(ISNUMBER(D60), D60*E60, "")</f>
        <v/>
      </c>
      <c r="G60" s="6" t="str">
        <f>IF(A60="","",VLOOKUP(A60, Base_Donnees!A:F, 3, FALSE))</f>
        <v/>
      </c>
      <c r="H60" s="6" t="str">
        <f>IF(A60="","",VLOOKUP(A60, Base_Donnees!A:F, 4, FALSE))</f>
        <v/>
      </c>
      <c r="I60" s="6" t="str">
        <f>IF(A60="","",VLOOKUP(A60, Base_Donnees!A:F, 5, FALSE))</f>
        <v/>
      </c>
    </row>
    <row r="61" spans="1:9" x14ac:dyDescent="0.35">
      <c r="A61" s="6"/>
      <c r="B61" s="7"/>
      <c r="C61" s="6">
        <f>$B$3</f>
        <v>4</v>
      </c>
      <c r="D61" s="6" t="str">
        <f>IF(ISNUMBER(B61), B61*C61, "")</f>
        <v/>
      </c>
      <c r="E61" s="33" t="str">
        <f>IF(A61="","",VLOOKUP(A61, Base_Donnees!A:F, 6, FALSE))</f>
        <v/>
      </c>
      <c r="F61" s="33" t="str">
        <f>IF(ISNUMBER(D61), D61*E61, "")</f>
        <v/>
      </c>
      <c r="G61" s="6" t="str">
        <f>IF(A61="","",VLOOKUP(A61, Base_Donnees!A:F, 3, FALSE))</f>
        <v/>
      </c>
      <c r="H61" s="6" t="str">
        <f>IF(A61="","",VLOOKUP(A61, Base_Donnees!A:F, 4, FALSE))</f>
        <v/>
      </c>
      <c r="I61" s="6" t="str">
        <f>IF(A61="","",VLOOKUP(A61, Base_Donnees!A:F, 5, FALSE))</f>
        <v/>
      </c>
    </row>
    <row r="62" spans="1:9" x14ac:dyDescent="0.35">
      <c r="E62" s="34" t="s">
        <v>205</v>
      </c>
      <c r="F62" s="37">
        <f>SUM(F59,F60,F61)</f>
        <v>0</v>
      </c>
    </row>
  </sheetData>
  <mergeCells count="13">
    <mergeCell ref="A1:I1"/>
    <mergeCell ref="A18:I18"/>
    <mergeCell ref="A27:I27"/>
    <mergeCell ref="A8:I8"/>
    <mergeCell ref="A57:I57"/>
    <mergeCell ref="A22:I22"/>
    <mergeCell ref="A12:I12"/>
    <mergeCell ref="A7:I7"/>
    <mergeCell ref="A49:I49"/>
    <mergeCell ref="A28:I28"/>
    <mergeCell ref="A42:I42"/>
    <mergeCell ref="A32:I32"/>
    <mergeCell ref="A36:I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8"/>
  <sheetViews>
    <sheetView topLeftCell="A43" workbookViewId="0">
      <selection activeCell="E59" sqref="E59"/>
    </sheetView>
  </sheetViews>
  <sheetFormatPr baseColWidth="10" defaultColWidth="8.7265625" defaultRowHeight="14.5" x14ac:dyDescent="0.35"/>
  <cols>
    <col min="1" max="1" width="42" customWidth="1"/>
    <col min="2" max="3" width="15" customWidth="1"/>
    <col min="4" max="6" width="20" customWidth="1"/>
    <col min="7" max="7" width="15" customWidth="1"/>
    <col min="8" max="8" width="20" customWidth="1"/>
    <col min="9" max="9" width="45" customWidth="1"/>
  </cols>
  <sheetData>
    <row r="1" spans="1:9" ht="19" x14ac:dyDescent="0.35">
      <c r="A1" s="68" t="s">
        <v>206</v>
      </c>
      <c r="B1" s="65"/>
      <c r="C1" s="65"/>
      <c r="D1" s="65"/>
      <c r="E1" s="65"/>
      <c r="F1" s="65"/>
      <c r="G1" s="65"/>
      <c r="H1" s="65"/>
      <c r="I1" s="65"/>
    </row>
    <row r="3" spans="1:9" x14ac:dyDescent="0.35">
      <c r="A3" t="s">
        <v>170</v>
      </c>
      <c r="B3" s="4">
        <v>2</v>
      </c>
    </row>
    <row r="4" spans="1:9" x14ac:dyDescent="0.35">
      <c r="A4" t="s">
        <v>171</v>
      </c>
      <c r="B4" s="4" t="s">
        <v>218</v>
      </c>
    </row>
    <row r="5" spans="1:9" x14ac:dyDescent="0.35">
      <c r="A5" t="s">
        <v>173</v>
      </c>
      <c r="B5" s="5" t="s">
        <v>207</v>
      </c>
    </row>
    <row r="7" spans="1:9" ht="16.5" x14ac:dyDescent="0.35">
      <c r="A7" s="67" t="s">
        <v>175</v>
      </c>
      <c r="B7" s="65"/>
      <c r="C7" s="65"/>
      <c r="D7" s="65"/>
      <c r="E7" s="65"/>
      <c r="F7" s="65"/>
      <c r="G7" s="65"/>
      <c r="H7" s="65"/>
      <c r="I7" s="65"/>
    </row>
    <row r="8" spans="1:9" x14ac:dyDescent="0.35">
      <c r="A8" s="66" t="s">
        <v>176</v>
      </c>
      <c r="B8" s="65"/>
      <c r="C8" s="65"/>
      <c r="D8" s="65"/>
      <c r="E8" s="65"/>
      <c r="F8" s="65"/>
      <c r="G8" s="65"/>
      <c r="H8" s="65"/>
      <c r="I8" s="65"/>
    </row>
    <row r="9" spans="1:9" x14ac:dyDescent="0.35">
      <c r="A9" s="1" t="s">
        <v>177</v>
      </c>
      <c r="B9" s="1" t="s">
        <v>178</v>
      </c>
      <c r="C9" s="1" t="s">
        <v>179</v>
      </c>
      <c r="D9" s="1" t="s">
        <v>180</v>
      </c>
      <c r="E9" s="1" t="s">
        <v>5</v>
      </c>
      <c r="F9" s="1" t="s">
        <v>181</v>
      </c>
      <c r="G9" s="1" t="s">
        <v>182</v>
      </c>
      <c r="H9" s="1" t="s">
        <v>183</v>
      </c>
      <c r="I9" s="1" t="s">
        <v>184</v>
      </c>
    </row>
    <row r="10" spans="1:9" x14ac:dyDescent="0.35">
      <c r="A10" s="6"/>
      <c r="B10" s="7"/>
      <c r="C10" s="7"/>
      <c r="D10" s="6" t="str">
        <f>IF(AND(ISNUMBER(B10), ISNUMBER(C10)), B10*C10*$B$3, "")</f>
        <v/>
      </c>
      <c r="E10" s="6" t="str">
        <f>IF(A10="","",VLOOKUP(A10, Base_Donnees!A:F, 6, FALSE))</f>
        <v/>
      </c>
      <c r="F10" s="6" t="str">
        <f>IF(ISNUMBER(D10), D10*E10, "")</f>
        <v/>
      </c>
      <c r="G10" s="6" t="str">
        <f>IF(A10="","",IF(ISNUMBER(D10), IFERROR((D10/VLOOKUP(A10, Base_Donnees!A:F, 3, FALSE))*1000, "-"), ""))</f>
        <v/>
      </c>
      <c r="H10" s="6" t="str">
        <f>IF(A10="","",VLOOKUP(A10, Base_Donnees!A:F, 4, FALSE))</f>
        <v/>
      </c>
      <c r="I10" s="6" t="str">
        <f>IF(A10="","",VLOOKUP(A10, Base_Donnees!A:F, 5, FALSE))</f>
        <v/>
      </c>
    </row>
    <row r="12" spans="1:9" x14ac:dyDescent="0.35">
      <c r="A12" s="66" t="s">
        <v>185</v>
      </c>
      <c r="B12" s="65"/>
      <c r="C12" s="65"/>
      <c r="D12" s="65"/>
      <c r="E12" s="65"/>
      <c r="F12" s="65"/>
      <c r="G12" s="65"/>
      <c r="H12" s="65"/>
      <c r="I12" s="65"/>
    </row>
    <row r="13" spans="1:9" x14ac:dyDescent="0.35">
      <c r="A13" s="1" t="s">
        <v>177</v>
      </c>
      <c r="B13" s="1" t="s">
        <v>178</v>
      </c>
      <c r="C13" s="1" t="s">
        <v>179</v>
      </c>
      <c r="D13" s="1" t="s">
        <v>180</v>
      </c>
      <c r="E13" s="1" t="s">
        <v>5</v>
      </c>
      <c r="F13" s="1" t="s">
        <v>181</v>
      </c>
      <c r="G13" s="1" t="s">
        <v>182</v>
      </c>
      <c r="H13" s="1" t="s">
        <v>183</v>
      </c>
      <c r="I13" s="1" t="s">
        <v>184</v>
      </c>
    </row>
    <row r="14" spans="1:9" x14ac:dyDescent="0.35">
      <c r="A14" s="6" t="s">
        <v>24</v>
      </c>
      <c r="B14" s="7">
        <v>8</v>
      </c>
      <c r="C14" s="7">
        <v>3</v>
      </c>
      <c r="D14" s="6">
        <f>IF(AND(ISNUMBER(B14), ISNUMBER(C14)), B14*C14*$B$3, "")</f>
        <v>48</v>
      </c>
      <c r="E14" s="6">
        <f>IF(A14="","",VLOOKUP(A14, Base_Donnees!A:F, 6, FALSE))</f>
        <v>26</v>
      </c>
      <c r="F14" s="6">
        <f>IF(ISNUMBER(D14), D14*E14, "")</f>
        <v>1248</v>
      </c>
      <c r="G14" s="6">
        <f>IF(A14="","",IF(ISNUMBER(D14), IFERROR((D14/VLOOKUP(A14, Base_Donnees!A:F, 3, FALSE))*1000, "-"), ""))</f>
        <v>1600</v>
      </c>
      <c r="H14" s="6" t="str">
        <f>IF(A14="","",VLOOKUP(A14, Base_Donnees!A:F, 4, FALSE))</f>
        <v>15 min</v>
      </c>
      <c r="I14" s="6" t="str">
        <f>IF(A14="","",VLOOKUP(A14, Base_Donnees!A:F, 5, FALSE))</f>
        <v>Sensible à l'eau froide du puits.</v>
      </c>
    </row>
    <row r="15" spans="1:9" x14ac:dyDescent="0.35">
      <c r="A15" s="6" t="s">
        <v>32</v>
      </c>
      <c r="B15" s="7">
        <v>2.5</v>
      </c>
      <c r="C15" s="7">
        <v>3</v>
      </c>
      <c r="D15" s="6">
        <f>IF(AND(ISNUMBER(B15), ISNUMBER(C15)), B15*C15*$B$3, "")</f>
        <v>15</v>
      </c>
      <c r="E15" s="6">
        <f>IF(A15="","",VLOOKUP(A15, Base_Donnees!A:F, 6, FALSE))</f>
        <v>260</v>
      </c>
      <c r="F15" s="6">
        <f>IF(ISNUMBER(D15), D15*E15, "")</f>
        <v>3900</v>
      </c>
      <c r="G15" s="6">
        <f>IF(A15="","",IF(ISNUMBER(D15), IFERROR((D15/VLOOKUP(A15, Base_Donnees!A:F, 3, FALSE))*1000, "-"), ""))</f>
        <v>214.28571428571428</v>
      </c>
      <c r="H15" s="6" t="str">
        <f>IF(A15="","",VLOOKUP(A15, Base_Donnees!A:F, 4, FALSE))</f>
        <v>8 min</v>
      </c>
      <c r="I15" s="6" t="str">
        <f>IF(A15="","",VLOOKUP(A15, Base_Donnees!A:F, 5, FALSE))</f>
        <v>Excellente source de magnésium soluble.</v>
      </c>
    </row>
    <row r="17" spans="1:9" x14ac:dyDescent="0.35">
      <c r="A17" s="66" t="s">
        <v>186</v>
      </c>
      <c r="B17" s="65"/>
      <c r="C17" s="65"/>
      <c r="D17" s="65"/>
      <c r="E17" s="65"/>
      <c r="F17" s="65"/>
      <c r="G17" s="65"/>
      <c r="H17" s="65"/>
      <c r="I17" s="65"/>
    </row>
    <row r="18" spans="1:9" x14ac:dyDescent="0.35">
      <c r="A18" s="1" t="s">
        <v>177</v>
      </c>
      <c r="B18" s="1" t="s">
        <v>178</v>
      </c>
      <c r="C18" s="1" t="s">
        <v>179</v>
      </c>
      <c r="D18" s="1" t="s">
        <v>180</v>
      </c>
      <c r="E18" s="1" t="s">
        <v>5</v>
      </c>
      <c r="F18" s="1" t="s">
        <v>181</v>
      </c>
      <c r="G18" s="1" t="s">
        <v>182</v>
      </c>
      <c r="H18" s="1" t="s">
        <v>183</v>
      </c>
      <c r="I18" s="1" t="s">
        <v>184</v>
      </c>
    </row>
    <row r="19" spans="1:9" x14ac:dyDescent="0.35">
      <c r="A19" s="6"/>
      <c r="B19" s="7"/>
      <c r="C19" s="7"/>
      <c r="D19" s="6" t="str">
        <f>IF(AND(ISNUMBER(B19), ISNUMBER(C19)), B19*C19*$B$3, "")</f>
        <v/>
      </c>
      <c r="E19" s="6" t="str">
        <f>IF(A19="","",VLOOKUP(A19, Base_Donnees!A:F, 6, FALSE))</f>
        <v/>
      </c>
      <c r="F19" s="6" t="str">
        <f>IF(ISNUMBER(D19), D19*E19, "")</f>
        <v/>
      </c>
      <c r="G19" s="6" t="str">
        <f>IF(A19="","",IF(ISNUMBER(D19), IFERROR((D19/VLOOKUP(A19, Base_Donnees!A:F, 3, FALSE))*1000, "-"), ""))</f>
        <v/>
      </c>
      <c r="H19" s="6" t="str">
        <f>IF(A19="","",VLOOKUP(A19, Base_Donnees!A:F, 4, FALSE))</f>
        <v/>
      </c>
      <c r="I19" s="6" t="str">
        <f>IF(A19="","",VLOOKUP(A19, Base_Donnees!A:F, 5, FALSE))</f>
        <v/>
      </c>
    </row>
    <row r="21" spans="1:9" x14ac:dyDescent="0.35">
      <c r="A21" s="66" t="s">
        <v>187</v>
      </c>
      <c r="B21" s="65"/>
      <c r="C21" s="65"/>
      <c r="D21" s="65"/>
      <c r="E21" s="65"/>
      <c r="F21" s="65"/>
      <c r="G21" s="65"/>
      <c r="H21" s="65"/>
      <c r="I21" s="65"/>
    </row>
    <row r="22" spans="1:9" x14ac:dyDescent="0.35">
      <c r="A22" s="1" t="s">
        <v>177</v>
      </c>
      <c r="B22" s="1" t="s">
        <v>178</v>
      </c>
      <c r="C22" s="1" t="s">
        <v>179</v>
      </c>
      <c r="D22" s="1" t="s">
        <v>180</v>
      </c>
      <c r="E22" s="1" t="s">
        <v>5</v>
      </c>
      <c r="F22" s="1" t="s">
        <v>181</v>
      </c>
      <c r="G22" s="1" t="s">
        <v>182</v>
      </c>
      <c r="H22" s="1" t="s">
        <v>183</v>
      </c>
      <c r="I22" s="1" t="s">
        <v>184</v>
      </c>
    </row>
    <row r="23" spans="1:9" x14ac:dyDescent="0.35">
      <c r="A23" s="6" t="s">
        <v>55</v>
      </c>
      <c r="B23" s="7">
        <v>2</v>
      </c>
      <c r="C23" s="7">
        <v>3</v>
      </c>
      <c r="D23" s="6">
        <f>IF(AND(ISNUMBER(B23), ISNUMBER(C23)), B23*C23*$B$3, "")</f>
        <v>12</v>
      </c>
      <c r="E23" s="6">
        <f>IF(A23="","",VLOOKUP(A23, Base_Donnees!A:F, 6, FALSE))</f>
        <v>378.15</v>
      </c>
      <c r="F23" s="6">
        <f>IF(ISNUMBER(D23), D23*E23, "")</f>
        <v>4537.7999999999993</v>
      </c>
      <c r="G23" s="6">
        <f>IF(A23="","",IF(ISNUMBER(D23), IFERROR((D23/VLOOKUP(A23, Base_Donnees!A:F, 3, FALSE))*1000, "-"), ""))</f>
        <v>2.4</v>
      </c>
      <c r="H23" s="6" t="str">
        <f>IF(A23="","",VLOOKUP(A23, Base_Donnees!A:F, 4, FALSE))</f>
        <v>1 min</v>
      </c>
      <c r="I23" s="6" t="str">
        <f>IF(A23="","",VLOOKUP(A23, Base_Donnees!A:F, 5, FALSE))</f>
        <v>CORROSIF : Gants + lunettes obligatoires.</v>
      </c>
    </row>
    <row r="25" spans="1:9" ht="16.5" x14ac:dyDescent="0.35">
      <c r="A25" s="69" t="s">
        <v>188</v>
      </c>
      <c r="B25" s="65"/>
      <c r="C25" s="65"/>
      <c r="D25" s="65"/>
      <c r="E25" s="65"/>
      <c r="F25" s="65"/>
      <c r="G25" s="65"/>
      <c r="H25" s="65"/>
      <c r="I25" s="65"/>
    </row>
    <row r="26" spans="1:9" x14ac:dyDescent="0.35">
      <c r="A26" s="66" t="s">
        <v>176</v>
      </c>
      <c r="B26" s="65"/>
      <c r="C26" s="65"/>
      <c r="D26" s="65"/>
      <c r="E26" s="65"/>
      <c r="F26" s="65"/>
      <c r="G26" s="65"/>
      <c r="H26" s="65"/>
      <c r="I26" s="65"/>
    </row>
    <row r="27" spans="1:9" x14ac:dyDescent="0.35">
      <c r="A27" s="1" t="s">
        <v>177</v>
      </c>
      <c r="B27" s="1" t="s">
        <v>178</v>
      </c>
      <c r="C27" s="1" t="s">
        <v>179</v>
      </c>
      <c r="D27" s="1" t="s">
        <v>180</v>
      </c>
      <c r="E27" s="1" t="s">
        <v>5</v>
      </c>
      <c r="F27" s="1" t="s">
        <v>181</v>
      </c>
      <c r="G27" s="1" t="s">
        <v>182</v>
      </c>
      <c r="H27" s="1" t="s">
        <v>183</v>
      </c>
      <c r="I27" s="1" t="s">
        <v>184</v>
      </c>
    </row>
    <row r="28" spans="1:9" x14ac:dyDescent="0.35">
      <c r="A28" s="6" t="s">
        <v>12</v>
      </c>
      <c r="B28" s="7">
        <v>5</v>
      </c>
      <c r="C28" s="7">
        <v>1</v>
      </c>
      <c r="D28" s="6">
        <f>IF(AND(ISNUMBER(B28), ISNUMBER(C28)), B28*C28*$B$3, "")</f>
        <v>10</v>
      </c>
      <c r="E28" s="6">
        <f>IF(A28="","",VLOOKUP(A28, Base_Donnees!A:F, 6, FALSE))</f>
        <v>160</v>
      </c>
      <c r="F28" s="6">
        <f>IF(ISNUMBER(D28), D28*E28, "")</f>
        <v>1600</v>
      </c>
      <c r="G28" s="6">
        <f>IF(A28="","",IF(ISNUMBER(D28), IFERROR((D28/VLOOKUP(A28, Base_Donnees!A:F, 3, FALSE))*1000, "-"), ""))</f>
        <v>83.333333333333329</v>
      </c>
      <c r="H28" s="6" t="str">
        <f>IF(A28="","",VLOOKUP(A28, Base_Donnees!A:F, 4, FALSE))</f>
        <v>6 min</v>
      </c>
      <c r="I28" s="6" t="str">
        <f>IF(A28="","",VLOOKUP(A28, Base_Donnees!A:F, 5, FALSE))</f>
        <v>CRITIQUE : Isoler totalement des Sulfates/Phosphates.</v>
      </c>
    </row>
    <row r="30" spans="1:9" x14ac:dyDescent="0.35">
      <c r="A30" s="66" t="s">
        <v>185</v>
      </c>
      <c r="B30" s="65"/>
      <c r="C30" s="65"/>
      <c r="D30" s="65"/>
      <c r="E30" s="65"/>
      <c r="F30" s="65"/>
      <c r="G30" s="65"/>
      <c r="H30" s="65"/>
      <c r="I30" s="65"/>
    </row>
    <row r="31" spans="1:9" x14ac:dyDescent="0.35">
      <c r="A31" s="1" t="s">
        <v>177</v>
      </c>
      <c r="B31" s="1" t="s">
        <v>178</v>
      </c>
      <c r="C31" s="1" t="s">
        <v>179</v>
      </c>
      <c r="D31" s="1" t="s">
        <v>180</v>
      </c>
      <c r="E31" s="1" t="s">
        <v>5</v>
      </c>
      <c r="F31" s="1" t="s">
        <v>181</v>
      </c>
      <c r="G31" s="1" t="s">
        <v>182</v>
      </c>
      <c r="H31" s="1" t="s">
        <v>183</v>
      </c>
      <c r="I31" s="1" t="s">
        <v>184</v>
      </c>
    </row>
    <row r="32" spans="1:9" x14ac:dyDescent="0.35">
      <c r="A32" s="6"/>
      <c r="B32" s="7"/>
      <c r="C32" s="7"/>
      <c r="D32" s="6" t="str">
        <f>IF(AND(ISNUMBER(B32), ISNUMBER(C32)), B32*C32*$B$3, "")</f>
        <v/>
      </c>
      <c r="E32" s="6" t="str">
        <f>IF(A32="","",VLOOKUP(A32, Base_Donnees!A:F, 6, FALSE))</f>
        <v/>
      </c>
      <c r="F32" s="6" t="str">
        <f>IF(ISNUMBER(D32), D32*E32, "")</f>
        <v/>
      </c>
      <c r="G32" s="6" t="str">
        <f>IF(A32="","",IF(ISNUMBER(D32), IFERROR((D32/VLOOKUP(A32, Base_Donnees!A:F, 3, FALSE))*1000, "-"), ""))</f>
        <v/>
      </c>
      <c r="H32" s="6" t="str">
        <f>IF(A32="","",VLOOKUP(A32, Base_Donnees!A:F, 4, FALSE))</f>
        <v/>
      </c>
      <c r="I32" s="6" t="str">
        <f>IF(A32="","",VLOOKUP(A32, Base_Donnees!A:F, 5, FALSE))</f>
        <v/>
      </c>
    </row>
    <row r="34" spans="1:9" x14ac:dyDescent="0.35">
      <c r="A34" s="66" t="s">
        <v>186</v>
      </c>
      <c r="B34" s="65"/>
      <c r="C34" s="65"/>
      <c r="D34" s="65"/>
      <c r="E34" s="65"/>
      <c r="F34" s="65"/>
      <c r="G34" s="65"/>
      <c r="H34" s="65"/>
      <c r="I34" s="65"/>
    </row>
    <row r="35" spans="1:9" x14ac:dyDescent="0.35">
      <c r="A35" s="1" t="s">
        <v>177</v>
      </c>
      <c r="B35" s="1" t="s">
        <v>178</v>
      </c>
      <c r="C35" s="1" t="s">
        <v>179</v>
      </c>
      <c r="D35" s="1" t="s">
        <v>180</v>
      </c>
      <c r="E35" s="1" t="s">
        <v>5</v>
      </c>
      <c r="F35" s="1" t="s">
        <v>181</v>
      </c>
      <c r="G35" s="1" t="s">
        <v>182</v>
      </c>
      <c r="H35" s="1" t="s">
        <v>183</v>
      </c>
      <c r="I35" s="1" t="s">
        <v>184</v>
      </c>
    </row>
    <row r="36" spans="1:9" x14ac:dyDescent="0.35">
      <c r="A36" s="6" t="s">
        <v>46</v>
      </c>
      <c r="B36" s="7">
        <v>0.75</v>
      </c>
      <c r="C36" s="7">
        <v>1</v>
      </c>
      <c r="D36" s="6">
        <f>IF(AND(ISNUMBER(B36), ISNUMBER(C36)), B36*C36*$B$3, "")</f>
        <v>1.5</v>
      </c>
      <c r="E36" s="6">
        <f>IF(A36="","",VLOOKUP(A36, Base_Donnees!A:F, 6, FALSE))</f>
        <v>3200</v>
      </c>
      <c r="F36" s="6">
        <f>IF(ISNUMBER(D36), D36*E36, "")</f>
        <v>4800</v>
      </c>
      <c r="G36" s="6">
        <f>IF(A36="","",IF(ISNUMBER(D36), IFERROR((D36/VLOOKUP(A36, Base_Donnees!A:F, 3, FALSE))*1000, "-"), ""))</f>
        <v>16.666666666666668</v>
      </c>
      <c r="H36" s="6" t="str">
        <f>IF(A36="","",VLOOKUP(A36, Base_Donnees!A:F, 4, FALSE))</f>
        <v>8 min</v>
      </c>
      <c r="I36" s="6" t="str">
        <f>IF(A36="","",VLOOKUP(A36, Base_Donnees!A:F, 5, FALSE))</f>
        <v>Indispensable contre la chlorose en sol calcaire.</v>
      </c>
    </row>
    <row r="37" spans="1:9" x14ac:dyDescent="0.35">
      <c r="A37" s="6" t="s">
        <v>42</v>
      </c>
      <c r="B37" s="7">
        <v>5</v>
      </c>
      <c r="C37" s="7">
        <v>1</v>
      </c>
      <c r="D37" s="6">
        <f>IF(AND(ISNUMBER(B37), ISNUMBER(C37)), B37*C37*$B$3, "")</f>
        <v>10</v>
      </c>
      <c r="E37" s="6">
        <f>IF(A37="","",VLOOKUP(A37, Base_Donnees!A:F, 6, FALSE))</f>
        <v>420</v>
      </c>
      <c r="F37" s="6">
        <f>IF(ISNUMBER(D37), D37*E37, "")</f>
        <v>4200</v>
      </c>
      <c r="G37" s="6">
        <f>IF(A37="","",IF(ISNUMBER(D37), IFERROR((D37/VLOOKUP(A37, Base_Donnees!A:F, 3, FALSE))*1000, "-"), ""))</f>
        <v>200</v>
      </c>
      <c r="H37" s="6" t="str">
        <f>IF(A37="","",VLOOKUP(A37, Base_Donnees!A:F, 4, FALSE))</f>
        <v>15 min</v>
      </c>
      <c r="I37" s="6" t="str">
        <f>IF(A37="","",VLOOKUP(A37, Base_Donnees!A:F, 5, FALSE))</f>
        <v>Améliore la structure du sol et l'assimilation.</v>
      </c>
    </row>
    <row r="39" spans="1:9" x14ac:dyDescent="0.35">
      <c r="A39" s="66" t="s">
        <v>187</v>
      </c>
      <c r="B39" s="65"/>
      <c r="C39" s="65"/>
      <c r="D39" s="65"/>
      <c r="E39" s="65"/>
      <c r="F39" s="65"/>
      <c r="G39" s="65"/>
      <c r="H39" s="65"/>
      <c r="I39" s="65"/>
    </row>
    <row r="40" spans="1:9" x14ac:dyDescent="0.35">
      <c r="A40" s="1" t="s">
        <v>177</v>
      </c>
      <c r="B40" s="1" t="s">
        <v>178</v>
      </c>
      <c r="C40" s="1" t="s">
        <v>179</v>
      </c>
      <c r="D40" s="1" t="s">
        <v>180</v>
      </c>
      <c r="E40" s="1" t="s">
        <v>5</v>
      </c>
      <c r="F40" s="1" t="s">
        <v>181</v>
      </c>
      <c r="G40" s="1" t="s">
        <v>182</v>
      </c>
      <c r="H40" s="1" t="s">
        <v>183</v>
      </c>
      <c r="I40" s="1" t="s">
        <v>184</v>
      </c>
    </row>
    <row r="41" spans="1:9" x14ac:dyDescent="0.35">
      <c r="A41" s="6" t="s">
        <v>65</v>
      </c>
      <c r="B41" s="7">
        <v>2</v>
      </c>
      <c r="C41" s="7">
        <v>1</v>
      </c>
      <c r="D41" s="6">
        <f>IF(AND(ISNUMBER(B41), ISNUMBER(C41)), B41*C41*$B$3, "")</f>
        <v>4</v>
      </c>
      <c r="E41" s="6">
        <f>IF(A41="","",VLOOKUP(A41, Base_Donnees!A:F, 6, FALSE))</f>
        <v>410.55</v>
      </c>
      <c r="F41" s="6">
        <f>IF(ISNUMBER(D41), D41*E41, "")</f>
        <v>1642.2</v>
      </c>
      <c r="G41" s="6">
        <f>IF(A41="","",IF(ISNUMBER(D41), IFERROR((D41/VLOOKUP(A41, Base_Donnees!A:F, 3, FALSE))*1000, "-"), ""))</f>
        <v>6.7796610169491522</v>
      </c>
      <c r="H41" s="6" t="str">
        <f>IF(A41="","",VLOOKUP(A41, Base_Donnees!A:F, 4, FALSE))</f>
        <v>4 min</v>
      </c>
      <c r="I41" s="6" t="str">
        <f>IF(A41="","",VLOOKUP(A41, Base_Donnees!A:F, 5, FALSE))</f>
        <v>Idéal pour chélater et nettoyer les goutteurs.</v>
      </c>
    </row>
    <row r="42" spans="1:9" x14ac:dyDescent="0.35">
      <c r="A42" s="6" t="s">
        <v>55</v>
      </c>
      <c r="B42" s="7">
        <v>1</v>
      </c>
      <c r="C42" s="7">
        <v>1</v>
      </c>
      <c r="D42" s="6">
        <f>IF(AND(ISNUMBER(B42), ISNUMBER(C42)), B42*C42*$B$3, "")</f>
        <v>2</v>
      </c>
      <c r="E42" s="6">
        <f>IF(A42="","",VLOOKUP(A42, Base_Donnees!A:F, 6, FALSE))</f>
        <v>378.15</v>
      </c>
      <c r="F42" s="6">
        <f>IF(ISNUMBER(D42), D42*E42, "")</f>
        <v>756.3</v>
      </c>
      <c r="G42" s="6">
        <f>IF(A42="","",IF(ISNUMBER(D42), IFERROR((D42/VLOOKUP(A42, Base_Donnees!A:F, 3, FALSE))*1000, "-"), ""))</f>
        <v>0.4</v>
      </c>
      <c r="H42" s="6" t="str">
        <f>IF(A42="","",VLOOKUP(A42, Base_Donnees!A:F, 4, FALSE))</f>
        <v>1 min</v>
      </c>
      <c r="I42" s="6" t="str">
        <f>IF(A42="","",VLOOKUP(A42, Base_Donnees!A:F, 5, FALSE))</f>
        <v>CORROSIF : Gants + lunettes obligatoires.</v>
      </c>
    </row>
    <row r="44" spans="1:9" x14ac:dyDescent="0.35">
      <c r="E44" s="8" t="s">
        <v>189</v>
      </c>
      <c r="F44" s="9">
        <f>SUM(F10,F14,F15,F19,F23,F28,F32,F36,F37,F41,F42)</f>
        <v>22684.3</v>
      </c>
    </row>
    <row r="46" spans="1:9" x14ac:dyDescent="0.35">
      <c r="A46" s="64" t="s">
        <v>190</v>
      </c>
      <c r="B46" s="65"/>
      <c r="C46" s="65"/>
      <c r="D46" s="65"/>
      <c r="E46" s="65"/>
      <c r="F46" s="65"/>
      <c r="G46" s="65"/>
      <c r="H46" s="65"/>
      <c r="I46" s="65"/>
    </row>
    <row r="47" spans="1:9" x14ac:dyDescent="0.35">
      <c r="A47" s="10" t="s">
        <v>191</v>
      </c>
      <c r="B47" s="10" t="s">
        <v>192</v>
      </c>
      <c r="C47" s="10" t="s">
        <v>193</v>
      </c>
      <c r="D47" s="10" t="s">
        <v>194</v>
      </c>
      <c r="E47" s="10" t="s">
        <v>5</v>
      </c>
      <c r="F47" s="10" t="s">
        <v>195</v>
      </c>
      <c r="G47" s="10" t="s">
        <v>196</v>
      </c>
      <c r="H47" s="10" t="s">
        <v>197</v>
      </c>
      <c r="I47" s="10"/>
    </row>
    <row r="48" spans="1:9" x14ac:dyDescent="0.35">
      <c r="A48" s="6" t="s">
        <v>81</v>
      </c>
      <c r="B48" s="7">
        <v>2.5</v>
      </c>
      <c r="C48" s="6">
        <f>$B$3</f>
        <v>2</v>
      </c>
      <c r="D48" s="6">
        <f>IF(ISNUMBER(B48), B48*C48, "")</f>
        <v>5</v>
      </c>
      <c r="E48" s="6">
        <f>IF(A48="","",VLOOKUP(A48, Base_Donnees!A:F, 6, FALSE))</f>
        <v>550</v>
      </c>
      <c r="F48" s="6">
        <f>IF(ISNUMBER(D48), D48*E48, "")</f>
        <v>2750</v>
      </c>
      <c r="G48" s="6" t="str">
        <f>IF(A48="","",VLOOKUP(A48, Base_Donnees!A:F, 5, FALSE))</f>
        <v>Appliquer aux stades critiques du fruit.</v>
      </c>
      <c r="H48" s="6" t="str">
        <f>IF(A48="","",VLOOKUP(A48, Base_Donnees!A:F, 4, FALSE))</f>
        <v>Fermeté fruit</v>
      </c>
      <c r="I48" s="6"/>
    </row>
    <row r="49" spans="1:9" x14ac:dyDescent="0.35">
      <c r="A49" s="6" t="s">
        <v>78</v>
      </c>
      <c r="B49" s="7">
        <v>2</v>
      </c>
      <c r="C49" s="6">
        <f>$B$3</f>
        <v>2</v>
      </c>
      <c r="D49" s="6">
        <f>IF(ISNUMBER(B49), B49*C49, "")</f>
        <v>4</v>
      </c>
      <c r="E49" s="6">
        <f>IF(A49="","",VLOOKUP(A49, Base_Donnees!A:F, 6, FALSE))</f>
        <v>2000</v>
      </c>
      <c r="F49" s="6">
        <f>IF(ISNUMBER(D49), D49*E49, "")</f>
        <v>8000</v>
      </c>
      <c r="G49" s="6" t="str">
        <f>IF(A49="","",VLOOKUP(A49, Base_Donnees!A:F, 5, FALSE))</f>
        <v>Soutien de la vigueur foliaire et division.</v>
      </c>
      <c r="H49" s="6" t="str">
        <f>IF(A49="","",VLOOKUP(A49, Base_Donnees!A:F, 4, FALSE))</f>
        <v>Extrait d'algues</v>
      </c>
      <c r="I49" s="6"/>
    </row>
    <row r="50" spans="1:9" x14ac:dyDescent="0.35">
      <c r="A50" s="6" t="s">
        <v>37</v>
      </c>
      <c r="B50" s="7">
        <v>1.5</v>
      </c>
      <c r="C50" s="6">
        <f>$B$3</f>
        <v>2</v>
      </c>
      <c r="D50" s="6">
        <f>IF(ISNUMBER(B50), B50*C50, "")</f>
        <v>3</v>
      </c>
      <c r="E50" s="6">
        <f>IF(A50="","",VLOOKUP(A50, Base_Donnees!A:F, 6, FALSE))</f>
        <v>3450</v>
      </c>
      <c r="F50" s="6">
        <f>IF(ISNUMBER(D50), D50*E50, "")</f>
        <v>10350</v>
      </c>
      <c r="G50" s="6" t="str">
        <f>IF(A50="","",VLOOKUP(A50, Base_Donnees!A:F, 5, FALSE))</f>
        <v>Mélange complet d'oligo-éléments chélatés.</v>
      </c>
      <c r="H50" s="6" t="str">
        <f>IF(A50="","",VLOOKUP(A50, Base_Donnees!A:F, 4, FALSE))</f>
        <v>10 min</v>
      </c>
      <c r="I50" s="6"/>
    </row>
    <row r="51" spans="1:9" x14ac:dyDescent="0.35">
      <c r="E51" s="8" t="s">
        <v>198</v>
      </c>
      <c r="F51" s="11">
        <f>SUM(F48,F49,F50)</f>
        <v>21100</v>
      </c>
    </row>
    <row r="53" spans="1:9" x14ac:dyDescent="0.35">
      <c r="A53" s="64" t="s">
        <v>199</v>
      </c>
      <c r="B53" s="65"/>
      <c r="C53" s="65"/>
      <c r="D53" s="65"/>
      <c r="E53" s="65"/>
      <c r="F53" s="65"/>
      <c r="G53" s="65"/>
      <c r="H53" s="65"/>
      <c r="I53" s="65"/>
    </row>
    <row r="54" spans="1:9" x14ac:dyDescent="0.35">
      <c r="A54" s="12" t="s">
        <v>200</v>
      </c>
      <c r="B54" s="12" t="s">
        <v>201</v>
      </c>
      <c r="C54" s="12" t="s">
        <v>193</v>
      </c>
      <c r="D54" s="12" t="s">
        <v>194</v>
      </c>
      <c r="E54" s="12" t="s">
        <v>5</v>
      </c>
      <c r="F54" s="12" t="s">
        <v>195</v>
      </c>
      <c r="G54" s="12" t="s">
        <v>202</v>
      </c>
      <c r="H54" s="12" t="s">
        <v>203</v>
      </c>
      <c r="I54" s="12" t="s">
        <v>204</v>
      </c>
    </row>
    <row r="55" spans="1:9" x14ac:dyDescent="0.35">
      <c r="A55" s="6" t="s">
        <v>94</v>
      </c>
      <c r="B55" s="7">
        <v>0.5</v>
      </c>
      <c r="C55" s="6">
        <f>$B$3</f>
        <v>2</v>
      </c>
      <c r="D55" s="6">
        <f>IF(ISNUMBER(B55), B55*C55, "")</f>
        <v>1</v>
      </c>
      <c r="E55" s="6">
        <f>IF(A55="","",VLOOKUP(A55, Base_Donnees!A:F, 6, FALSE))</f>
        <v>20000</v>
      </c>
      <c r="F55" s="6">
        <f>IF(ISNUMBER(D55), D55*E55, "")</f>
        <v>20000</v>
      </c>
      <c r="G55" s="6" t="str">
        <f>IF(A55="","",VLOOKUP(A55, Base_Donnees!A:F, 3, FALSE))</f>
        <v>14 Jours</v>
      </c>
      <c r="H55" s="6" t="str">
        <f>IF(A55="","",VLOOKUP(A55, Base_Donnees!A:F, 4, FALSE))</f>
        <v>Thiaclopride</v>
      </c>
      <c r="I55" s="6" t="str">
        <f>IF(A55="","",VLOOKUP(A55, Base_Donnees!A:F, 5, FALSE))</f>
        <v>Insecticide systémique (Pucerons, Carpocapse du pommier)</v>
      </c>
    </row>
    <row r="56" spans="1:9" x14ac:dyDescent="0.35">
      <c r="A56" s="6" t="s">
        <v>219</v>
      </c>
      <c r="B56" s="7">
        <v>0.5</v>
      </c>
      <c r="C56" s="6">
        <f>$B$3</f>
        <v>2</v>
      </c>
      <c r="D56" s="6">
        <f>IF(ISNUMBER(B56), B56*C56, "")</f>
        <v>1</v>
      </c>
      <c r="E56" s="6">
        <v>1</v>
      </c>
      <c r="F56" s="6">
        <f>IF(ISNUMBER(D56), D56*E56, "")</f>
        <v>1</v>
      </c>
      <c r="G56" s="6" t="e">
        <f>IF(A56="","",VLOOKUP(A56, Base_Donnees!A:F, 3, FALSE))</f>
        <v>#N/A</v>
      </c>
      <c r="H56" s="6" t="e">
        <f>IF(A56="","",VLOOKUP(A56, Base_Donnees!A:F, 4, FALSE))</f>
        <v>#N/A</v>
      </c>
      <c r="I56" s="6" t="e">
        <f>IF(A56="","",VLOOKUP(A56, Base_Donnees!A:F, 5, FALSE))</f>
        <v>#N/A</v>
      </c>
    </row>
    <row r="57" spans="1:9" x14ac:dyDescent="0.35">
      <c r="A57" s="6"/>
      <c r="B57" s="7"/>
      <c r="C57" s="6">
        <f>$B$3</f>
        <v>2</v>
      </c>
      <c r="D57" s="6" t="str">
        <f>IF(ISNUMBER(B57), B57*C57, "")</f>
        <v/>
      </c>
      <c r="E57" s="6" t="str">
        <f>IF(A57="","",VLOOKUP(A57, Base_Donnees!A:F, 6, FALSE))</f>
        <v/>
      </c>
      <c r="F57" s="6" t="str">
        <f>IF(ISNUMBER(D57), D57*E57, "")</f>
        <v/>
      </c>
      <c r="G57" s="6" t="str">
        <f>IF(A57="","",VLOOKUP(A57, Base_Donnees!A:F, 3, FALSE))</f>
        <v/>
      </c>
      <c r="H57" s="6" t="str">
        <f>IF(A57="","",VLOOKUP(A57, Base_Donnees!A:F, 4, FALSE))</f>
        <v/>
      </c>
      <c r="I57" s="6" t="str">
        <f>IF(A57="","",VLOOKUP(A57, Base_Donnees!A:F, 5, FALSE))</f>
        <v/>
      </c>
    </row>
    <row r="58" spans="1:9" x14ac:dyDescent="0.35">
      <c r="E58" s="8" t="s">
        <v>205</v>
      </c>
      <c r="F58" s="11">
        <f>SUM(F55,F56,F57)</f>
        <v>20001</v>
      </c>
    </row>
  </sheetData>
  <mergeCells count="13">
    <mergeCell ref="A7:I7"/>
    <mergeCell ref="A25:I25"/>
    <mergeCell ref="A46:I46"/>
    <mergeCell ref="A1:I1"/>
    <mergeCell ref="A17:I17"/>
    <mergeCell ref="A8:I8"/>
    <mergeCell ref="A30:I30"/>
    <mergeCell ref="A53:I53"/>
    <mergeCell ref="A39:I39"/>
    <mergeCell ref="A34:I34"/>
    <mergeCell ref="A12:I12"/>
    <mergeCell ref="A26:I26"/>
    <mergeCell ref="A21:I2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59"/>
  <sheetViews>
    <sheetView topLeftCell="A32" workbookViewId="0">
      <selection activeCell="D59" sqref="D59"/>
    </sheetView>
  </sheetViews>
  <sheetFormatPr baseColWidth="10" defaultColWidth="8.7265625" defaultRowHeight="14.5" x14ac:dyDescent="0.35"/>
  <cols>
    <col min="1" max="1" width="42" customWidth="1"/>
    <col min="2" max="3" width="15" customWidth="1"/>
    <col min="4" max="5" width="20" customWidth="1"/>
    <col min="6" max="6" width="20" style="21" customWidth="1"/>
    <col min="7" max="7" width="15" customWidth="1"/>
    <col min="8" max="8" width="20" customWidth="1"/>
    <col min="9" max="9" width="45" customWidth="1"/>
  </cols>
  <sheetData>
    <row r="1" spans="1:9" ht="19" x14ac:dyDescent="0.35">
      <c r="A1" s="68" t="s">
        <v>216</v>
      </c>
      <c r="B1" s="65"/>
      <c r="C1" s="65"/>
      <c r="D1" s="65"/>
      <c r="E1" s="65"/>
      <c r="F1" s="65"/>
      <c r="G1" s="65"/>
      <c r="H1" s="65"/>
      <c r="I1" s="65"/>
    </row>
    <row r="3" spans="1:9" x14ac:dyDescent="0.35">
      <c r="A3" t="s">
        <v>170</v>
      </c>
      <c r="B3" s="4">
        <v>8</v>
      </c>
    </row>
    <row r="4" spans="1:9" x14ac:dyDescent="0.35">
      <c r="A4" t="s">
        <v>171</v>
      </c>
      <c r="B4" s="4" t="s">
        <v>218</v>
      </c>
    </row>
    <row r="5" spans="1:9" x14ac:dyDescent="0.35">
      <c r="A5" t="s">
        <v>173</v>
      </c>
      <c r="B5" s="28" t="s">
        <v>223</v>
      </c>
    </row>
    <row r="7" spans="1:9" ht="16.5" x14ac:dyDescent="0.35">
      <c r="A7" s="67" t="s">
        <v>175</v>
      </c>
      <c r="B7" s="65"/>
      <c r="C7" s="65"/>
      <c r="D7" s="65"/>
      <c r="E7" s="65"/>
      <c r="F7" s="65"/>
      <c r="G7" s="65"/>
      <c r="H7" s="65"/>
      <c r="I7" s="65"/>
    </row>
    <row r="8" spans="1:9" x14ac:dyDescent="0.35">
      <c r="A8" s="66" t="s">
        <v>176</v>
      </c>
      <c r="B8" s="65"/>
      <c r="C8" s="65"/>
      <c r="D8" s="65"/>
      <c r="E8" s="65"/>
      <c r="F8" s="65"/>
      <c r="G8" s="65"/>
      <c r="H8" s="65"/>
      <c r="I8" s="65"/>
    </row>
    <row r="9" spans="1:9" x14ac:dyDescent="0.35">
      <c r="A9" s="1" t="s">
        <v>177</v>
      </c>
      <c r="B9" s="1" t="s">
        <v>178</v>
      </c>
      <c r="C9" s="1" t="s">
        <v>179</v>
      </c>
      <c r="D9" s="1" t="s">
        <v>180</v>
      </c>
      <c r="E9" s="1" t="s">
        <v>5</v>
      </c>
      <c r="F9" s="32" t="s">
        <v>181</v>
      </c>
      <c r="G9" s="1" t="s">
        <v>182</v>
      </c>
      <c r="H9" s="1" t="s">
        <v>183</v>
      </c>
      <c r="I9" s="1" t="s">
        <v>184</v>
      </c>
    </row>
    <row r="10" spans="1:9" x14ac:dyDescent="0.35">
      <c r="A10" s="6"/>
      <c r="B10" s="7"/>
      <c r="C10" s="7"/>
      <c r="D10" s="6" t="str">
        <f>IF(AND(ISNUMBER(B10), ISNUMBER(C10)), B10*C10*$B$3, "")</f>
        <v/>
      </c>
      <c r="E10" s="6" t="str">
        <f>IF(A10="","",VLOOKUP(A10, Base_Donnees!A:F, 6, FALSE))</f>
        <v/>
      </c>
      <c r="F10" s="33" t="str">
        <f>IF(ISNUMBER(D10), D10*E10, "")</f>
        <v/>
      </c>
      <c r="G10" s="6" t="str">
        <f>IF(A10="","",IF(ISNUMBER(D10), IFERROR((D10/VLOOKUP(A10, Base_Donnees!A:F, 3, FALSE))*1000, "-"), ""))</f>
        <v/>
      </c>
      <c r="H10" s="6" t="str">
        <f>IF(A10="","",VLOOKUP(A10, Base_Donnees!A:F, 4, FALSE))</f>
        <v/>
      </c>
      <c r="I10" s="6" t="str">
        <f>IF(A10="","",VLOOKUP(A10, Base_Donnees!A:F, 5, FALSE))</f>
        <v/>
      </c>
    </row>
    <row r="12" spans="1:9" x14ac:dyDescent="0.35">
      <c r="A12" s="66" t="s">
        <v>185</v>
      </c>
      <c r="B12" s="65"/>
      <c r="C12" s="65"/>
      <c r="D12" s="65"/>
      <c r="E12" s="65"/>
      <c r="F12" s="65"/>
      <c r="G12" s="65"/>
      <c r="H12" s="65"/>
      <c r="I12" s="65"/>
    </row>
    <row r="13" spans="1:9" x14ac:dyDescent="0.35">
      <c r="A13" s="1" t="s">
        <v>177</v>
      </c>
      <c r="B13" s="1" t="s">
        <v>178</v>
      </c>
      <c r="C13" s="1" t="s">
        <v>179</v>
      </c>
      <c r="D13" s="1" t="s">
        <v>180</v>
      </c>
      <c r="E13" s="1" t="s">
        <v>5</v>
      </c>
      <c r="F13" s="32" t="s">
        <v>181</v>
      </c>
      <c r="G13" s="1" t="s">
        <v>182</v>
      </c>
      <c r="H13" s="1" t="s">
        <v>183</v>
      </c>
      <c r="I13" s="1" t="s">
        <v>184</v>
      </c>
    </row>
    <row r="14" spans="1:9" x14ac:dyDescent="0.35">
      <c r="A14" s="6" t="s">
        <v>24</v>
      </c>
      <c r="B14" s="7">
        <v>7</v>
      </c>
      <c r="C14" s="7">
        <v>2</v>
      </c>
      <c r="D14" s="6">
        <f>IF(AND(ISNUMBER(B14), ISNUMBER(C14)), B14*C14*$B$3, "")</f>
        <v>112</v>
      </c>
      <c r="E14" s="6">
        <f>IF(A14="","",VLOOKUP(A14, Base_Donnees!A:F, 6, FALSE))</f>
        <v>26</v>
      </c>
      <c r="F14" s="33">
        <f>IF(ISNUMBER(D14), D14*E14, "")</f>
        <v>2912</v>
      </c>
      <c r="G14" s="6">
        <f>IF(A14="","",IF(ISNUMBER(D14), IFERROR((D14/VLOOKUP(A14, Base_Donnees!A:F, 3, FALSE))*1000, "-"), ""))</f>
        <v>3733.3333333333335</v>
      </c>
      <c r="H14" s="6" t="str">
        <f>IF(A14="","",VLOOKUP(A14, Base_Donnees!A:F, 4, FALSE))</f>
        <v>15 min</v>
      </c>
      <c r="I14" s="6" t="str">
        <f>IF(A14="","",VLOOKUP(A14, Base_Donnees!A:F, 5, FALSE))</f>
        <v>Sensible à l'eau froide du puits.</v>
      </c>
    </row>
    <row r="15" spans="1:9" x14ac:dyDescent="0.35">
      <c r="A15" s="6" t="s">
        <v>32</v>
      </c>
      <c r="B15" s="7">
        <v>3</v>
      </c>
      <c r="C15" s="7">
        <v>2</v>
      </c>
      <c r="D15" s="6">
        <f>IF(AND(ISNUMBER(B15), ISNUMBER(C15)), B15*C15*$B$3, "")</f>
        <v>48</v>
      </c>
      <c r="E15" s="6">
        <f>IF(A15="","",VLOOKUP(A15, Base_Donnees!A:F, 6, FALSE))</f>
        <v>260</v>
      </c>
      <c r="F15" s="33">
        <f>IF(ISNUMBER(D15), D15*E15, "")</f>
        <v>12480</v>
      </c>
      <c r="G15" s="6">
        <f>IF(A15="","",IF(ISNUMBER(D15), IFERROR((D15/VLOOKUP(A15, Base_Donnees!A:F, 3, FALSE))*1000, "-"), ""))</f>
        <v>685.71428571428567</v>
      </c>
      <c r="H15" s="6" t="str">
        <f>IF(A15="","",VLOOKUP(A15, Base_Donnees!A:F, 4, FALSE))</f>
        <v>8 min</v>
      </c>
      <c r="I15" s="6" t="str">
        <f>IF(A15="","",VLOOKUP(A15, Base_Donnees!A:F, 5, FALSE))</f>
        <v>Excellente source de magnésium soluble.</v>
      </c>
    </row>
    <row r="16" spans="1:9" x14ac:dyDescent="0.35">
      <c r="A16" s="6" t="s">
        <v>19</v>
      </c>
      <c r="B16" s="7">
        <v>5</v>
      </c>
      <c r="C16" s="7">
        <v>2</v>
      </c>
      <c r="D16" s="6">
        <f>IF(AND(ISNUMBER(B16), ISNUMBER(C16)), B16*C16*$B$3, "")</f>
        <v>80</v>
      </c>
      <c r="E16" s="6">
        <f>IF(A16="","",VLOOKUP(A16, Base_Donnees!A:F, 6, FALSE))</f>
        <v>45</v>
      </c>
      <c r="F16" s="33">
        <f>IF(ISNUMBER(D16), D16*E16, "")</f>
        <v>3600</v>
      </c>
      <c r="G16" s="6">
        <f>IF(A16="","",IF(ISNUMBER(D16), IFERROR((D16/VLOOKUP(A16, Base_Donnees!A:F, 3, FALSE))*1000, "-"), ""))</f>
        <v>761.90476190476181</v>
      </c>
      <c r="H16" s="6" t="str">
        <f>IF(A16="","",VLOOKUP(A16, Base_Donnees!A:F, 4, FALSE))</f>
        <v>5 min</v>
      </c>
      <c r="I16" s="6" t="str">
        <f>IF(A16="","",VLOOKUP(A16, Base_Donnees!A:F, 5, FALSE))</f>
        <v>Très soluble. Refroidit l'eau (endothermique).</v>
      </c>
    </row>
    <row r="18" spans="1:9" x14ac:dyDescent="0.35">
      <c r="A18" s="66" t="s">
        <v>186</v>
      </c>
      <c r="B18" s="65"/>
      <c r="C18" s="65"/>
      <c r="D18" s="65"/>
      <c r="E18" s="65"/>
      <c r="F18" s="65"/>
      <c r="G18" s="65"/>
      <c r="H18" s="65"/>
      <c r="I18" s="65"/>
    </row>
    <row r="19" spans="1:9" x14ac:dyDescent="0.35">
      <c r="A19" s="1" t="s">
        <v>177</v>
      </c>
      <c r="B19" s="1" t="s">
        <v>178</v>
      </c>
      <c r="C19" s="1" t="s">
        <v>179</v>
      </c>
      <c r="D19" s="1" t="s">
        <v>180</v>
      </c>
      <c r="E19" s="1" t="s">
        <v>5</v>
      </c>
      <c r="F19" s="32" t="s">
        <v>181</v>
      </c>
      <c r="G19" s="1" t="s">
        <v>182</v>
      </c>
      <c r="H19" s="1" t="s">
        <v>183</v>
      </c>
      <c r="I19" s="1" t="s">
        <v>184</v>
      </c>
    </row>
    <row r="20" spans="1:9" x14ac:dyDescent="0.35">
      <c r="A20" s="6"/>
      <c r="B20" s="7"/>
      <c r="C20" s="7"/>
      <c r="D20" s="6" t="str">
        <f>IF(AND(ISNUMBER(B20), ISNUMBER(C20)), B20*C20*$B$3, "")</f>
        <v/>
      </c>
      <c r="E20" s="6" t="str">
        <f>IF(A20="","",VLOOKUP(A20, Base_Donnees!A:F, 6, FALSE))</f>
        <v/>
      </c>
      <c r="F20" s="33" t="str">
        <f>IF(ISNUMBER(D20), D20*E20, "")</f>
        <v/>
      </c>
      <c r="G20" s="6" t="str">
        <f>IF(A20="","",IF(ISNUMBER(D20), IFERROR((D20/VLOOKUP(A20, Base_Donnees!A:F, 3, FALSE))*1000, "-"), ""))</f>
        <v/>
      </c>
      <c r="H20" s="6" t="str">
        <f>IF(A20="","",VLOOKUP(A20, Base_Donnees!A:F, 4, FALSE))</f>
        <v/>
      </c>
      <c r="I20" s="6" t="str">
        <f>IF(A20="","",VLOOKUP(A20, Base_Donnees!A:F, 5, FALSE))</f>
        <v/>
      </c>
    </row>
    <row r="22" spans="1:9" x14ac:dyDescent="0.35">
      <c r="A22" s="66" t="s">
        <v>187</v>
      </c>
      <c r="B22" s="65"/>
      <c r="C22" s="65"/>
      <c r="D22" s="65"/>
      <c r="E22" s="65"/>
      <c r="F22" s="65"/>
      <c r="G22" s="65"/>
      <c r="H22" s="65"/>
      <c r="I22" s="65"/>
    </row>
    <row r="23" spans="1:9" x14ac:dyDescent="0.35">
      <c r="A23" s="1" t="s">
        <v>177</v>
      </c>
      <c r="B23" s="1" t="s">
        <v>178</v>
      </c>
      <c r="C23" s="1" t="s">
        <v>179</v>
      </c>
      <c r="D23" s="1" t="s">
        <v>180</v>
      </c>
      <c r="E23" s="1" t="s">
        <v>5</v>
      </c>
      <c r="F23" s="32" t="s">
        <v>181</v>
      </c>
      <c r="G23" s="1" t="s">
        <v>182</v>
      </c>
      <c r="H23" s="1" t="s">
        <v>183</v>
      </c>
      <c r="I23" s="1" t="s">
        <v>184</v>
      </c>
    </row>
    <row r="24" spans="1:9" x14ac:dyDescent="0.35">
      <c r="A24" s="6" t="s">
        <v>63</v>
      </c>
      <c r="B24" s="7">
        <v>2</v>
      </c>
      <c r="C24" s="7">
        <v>2</v>
      </c>
      <c r="D24" s="6">
        <f>IF(AND(ISNUMBER(B24), ISNUMBER(C24)), B24*C24*$B$3, "")</f>
        <v>32</v>
      </c>
      <c r="E24" s="6">
        <f>IF(A24="","",VLOOKUP(A24, Base_Donnees!A:F, 6, FALSE))</f>
        <v>500</v>
      </c>
      <c r="F24" s="33">
        <f>IF(ISNUMBER(D24), D24*E24, "")</f>
        <v>16000</v>
      </c>
      <c r="G24" s="6">
        <f>IF(A24="","",IF(ISNUMBER(D24), IFERROR((D24/VLOOKUP(A24, Base_Donnees!A:F, 3, FALSE))*1000, "-"), ""))</f>
        <v>6.4</v>
      </c>
      <c r="H24" s="6" t="str">
        <f>IF(A24="","",VLOOKUP(A24, Base_Donnees!A:F, 4, FALSE))</f>
        <v>1 min</v>
      </c>
      <c r="I24" s="6" t="str">
        <f>IF(A24="","",VLOOKUP(A24, Base_Donnees!A:F, 5, FALSE))</f>
        <v>Sécurité : Toujours verser l'acide dans l'eau.</v>
      </c>
    </row>
    <row r="25" spans="1:9" x14ac:dyDescent="0.35">
      <c r="A25" s="6" t="s">
        <v>55</v>
      </c>
      <c r="B25" s="7">
        <v>1</v>
      </c>
      <c r="C25" s="7">
        <v>2</v>
      </c>
      <c r="D25" s="6">
        <f>IF(AND(ISNUMBER(B25), ISNUMBER(C25)), B25*C25*$B$3, "")</f>
        <v>16</v>
      </c>
      <c r="E25" s="6">
        <f>IF(A25="","",VLOOKUP(A25, Base_Donnees!A:F, 6, FALSE))</f>
        <v>378.15</v>
      </c>
      <c r="F25" s="33">
        <f>IF(ISNUMBER(D25), D25*E25, "")</f>
        <v>6050.4</v>
      </c>
      <c r="G25" s="6">
        <f>IF(A25="","",IF(ISNUMBER(D25), IFERROR((D25/VLOOKUP(A25, Base_Donnees!A:F, 3, FALSE))*1000, "-"), ""))</f>
        <v>3.2</v>
      </c>
      <c r="H25" s="6" t="str">
        <f>IF(A25="","",VLOOKUP(A25, Base_Donnees!A:F, 4, FALSE))</f>
        <v>1 min</v>
      </c>
      <c r="I25" s="6" t="str">
        <f>IF(A25="","",VLOOKUP(A25, Base_Donnees!A:F, 5, FALSE))</f>
        <v>CORROSIF : Gants + lunettes obligatoires.</v>
      </c>
    </row>
    <row r="27" spans="1:9" ht="16.5" x14ac:dyDescent="0.35">
      <c r="A27" s="69" t="s">
        <v>188</v>
      </c>
      <c r="B27" s="65"/>
      <c r="C27" s="65"/>
      <c r="D27" s="65"/>
      <c r="E27" s="65"/>
      <c r="F27" s="65"/>
      <c r="G27" s="65"/>
      <c r="H27" s="65"/>
      <c r="I27" s="65"/>
    </row>
    <row r="28" spans="1:9" x14ac:dyDescent="0.35">
      <c r="A28" s="66" t="s">
        <v>176</v>
      </c>
      <c r="B28" s="65"/>
      <c r="C28" s="65"/>
      <c r="D28" s="65"/>
      <c r="E28" s="65"/>
      <c r="F28" s="65"/>
      <c r="G28" s="65"/>
      <c r="H28" s="65"/>
      <c r="I28" s="65"/>
    </row>
    <row r="29" spans="1:9" x14ac:dyDescent="0.35">
      <c r="A29" s="1" t="s">
        <v>177</v>
      </c>
      <c r="B29" s="1" t="s">
        <v>178</v>
      </c>
      <c r="C29" s="1" t="s">
        <v>179</v>
      </c>
      <c r="D29" s="1" t="s">
        <v>180</v>
      </c>
      <c r="E29" s="1" t="s">
        <v>5</v>
      </c>
      <c r="F29" s="32" t="s">
        <v>181</v>
      </c>
      <c r="G29" s="1" t="s">
        <v>182</v>
      </c>
      <c r="H29" s="1" t="s">
        <v>183</v>
      </c>
      <c r="I29" s="1" t="s">
        <v>184</v>
      </c>
    </row>
    <row r="30" spans="1:9" x14ac:dyDescent="0.35">
      <c r="A30" s="6" t="s">
        <v>12</v>
      </c>
      <c r="B30" s="7">
        <v>3.5</v>
      </c>
      <c r="C30" s="7">
        <v>1</v>
      </c>
      <c r="D30" s="6">
        <f>IF(AND(ISNUMBER(B30), ISNUMBER(C30)), B30*C30*$B$3, "")</f>
        <v>28</v>
      </c>
      <c r="E30" s="6">
        <f>IF(A30="","",VLOOKUP(A30, Base_Donnees!A:F, 6, FALSE))</f>
        <v>160</v>
      </c>
      <c r="F30" s="33">
        <f>IF(ISNUMBER(D30), D30*E30, "")</f>
        <v>4480</v>
      </c>
      <c r="G30" s="6">
        <f>IF(A30="","",IF(ISNUMBER(D30), IFERROR((D30/VLOOKUP(A30, Base_Donnees!A:F, 3, FALSE))*1000, "-"), ""))</f>
        <v>233.33333333333334</v>
      </c>
      <c r="H30" s="6" t="str">
        <f>IF(A30="","",VLOOKUP(A30, Base_Donnees!A:F, 4, FALSE))</f>
        <v>6 min</v>
      </c>
      <c r="I30" s="6" t="str">
        <f>IF(A30="","",VLOOKUP(A30, Base_Donnees!A:F, 5, FALSE))</f>
        <v>CRITIQUE : Isoler totalement des Sulfates/Phosphates.</v>
      </c>
    </row>
    <row r="32" spans="1:9" x14ac:dyDescent="0.35">
      <c r="A32" s="66" t="s">
        <v>185</v>
      </c>
      <c r="B32" s="65"/>
      <c r="C32" s="65"/>
      <c r="D32" s="65"/>
      <c r="E32" s="65"/>
      <c r="F32" s="65"/>
      <c r="G32" s="65"/>
      <c r="H32" s="65"/>
      <c r="I32" s="65"/>
    </row>
    <row r="33" spans="1:9" x14ac:dyDescent="0.35">
      <c r="A33" s="1" t="s">
        <v>177</v>
      </c>
      <c r="B33" s="1" t="s">
        <v>178</v>
      </c>
      <c r="C33" s="1" t="s">
        <v>179</v>
      </c>
      <c r="D33" s="1" t="s">
        <v>180</v>
      </c>
      <c r="E33" s="1" t="s">
        <v>5</v>
      </c>
      <c r="F33" s="32" t="s">
        <v>181</v>
      </c>
      <c r="G33" s="1" t="s">
        <v>182</v>
      </c>
      <c r="H33" s="1" t="s">
        <v>183</v>
      </c>
      <c r="I33" s="1" t="s">
        <v>184</v>
      </c>
    </row>
    <row r="34" spans="1:9" x14ac:dyDescent="0.35">
      <c r="A34" s="6"/>
      <c r="B34" s="7"/>
      <c r="C34" s="7"/>
      <c r="D34" s="6" t="str">
        <f>IF(AND(ISNUMBER(B34), ISNUMBER(C34)), B34*C34*$B$3, "")</f>
        <v/>
      </c>
      <c r="E34" s="6" t="str">
        <f>IF(A34="","",VLOOKUP(A34, Base_Donnees!A:F, 6, FALSE))</f>
        <v/>
      </c>
      <c r="F34" s="33" t="str">
        <f>IF(ISNUMBER(D34), D34*E34, "")</f>
        <v/>
      </c>
      <c r="G34" s="6" t="str">
        <f>IF(A34="","",IF(ISNUMBER(D34), IFERROR((D34/VLOOKUP(A34, Base_Donnees!A:F, 3, FALSE))*1000, "-"), ""))</f>
        <v/>
      </c>
      <c r="H34" s="6" t="str">
        <f>IF(A34="","",VLOOKUP(A34, Base_Donnees!A:F, 4, FALSE))</f>
        <v/>
      </c>
      <c r="I34" s="6" t="str">
        <f>IF(A34="","",VLOOKUP(A34, Base_Donnees!A:F, 5, FALSE))</f>
        <v/>
      </c>
    </row>
    <row r="36" spans="1:9" x14ac:dyDescent="0.35">
      <c r="A36" s="66" t="s">
        <v>186</v>
      </c>
      <c r="B36" s="65"/>
      <c r="C36" s="65"/>
      <c r="D36" s="65"/>
      <c r="E36" s="65"/>
      <c r="F36" s="65"/>
      <c r="G36" s="65"/>
      <c r="H36" s="65"/>
      <c r="I36" s="65"/>
    </row>
    <row r="37" spans="1:9" x14ac:dyDescent="0.35">
      <c r="A37" s="1" t="s">
        <v>177</v>
      </c>
      <c r="B37" s="1" t="s">
        <v>178</v>
      </c>
      <c r="C37" s="1" t="s">
        <v>179</v>
      </c>
      <c r="D37" s="1" t="s">
        <v>180</v>
      </c>
      <c r="E37" s="1" t="s">
        <v>5</v>
      </c>
      <c r="F37" s="32" t="s">
        <v>181</v>
      </c>
      <c r="G37" s="1" t="s">
        <v>182</v>
      </c>
      <c r="H37" s="1" t="s">
        <v>183</v>
      </c>
      <c r="I37" s="1" t="s">
        <v>184</v>
      </c>
    </row>
    <row r="38" spans="1:9" x14ac:dyDescent="0.35">
      <c r="A38" s="6"/>
      <c r="B38" s="7"/>
      <c r="C38" s="7"/>
      <c r="D38" s="6" t="str">
        <f>IF(AND(ISNUMBER(B38), ISNUMBER(C38)), B38*C38*$B$3, "")</f>
        <v/>
      </c>
      <c r="E38" s="6" t="str">
        <f>IF(A38="","",VLOOKUP(A38, Base_Donnees!A:F, 6, FALSE))</f>
        <v/>
      </c>
      <c r="F38" s="33" t="str">
        <f>IF(ISNUMBER(D38), D38*E38, "")</f>
        <v/>
      </c>
      <c r="G38" s="6" t="str">
        <f>IF(A38="","",IF(ISNUMBER(D38), IFERROR((D38/VLOOKUP(A38, Base_Donnees!A:F, 3, FALSE))*1000, "-"), ""))</f>
        <v/>
      </c>
      <c r="H38" s="6" t="str">
        <f>IF(A38="","",VLOOKUP(A38, Base_Donnees!A:F, 4, FALSE))</f>
        <v/>
      </c>
      <c r="I38" s="6" t="str">
        <f>IF(A38="","",VLOOKUP(A38, Base_Donnees!A:F, 5, FALSE))</f>
        <v/>
      </c>
    </row>
    <row r="40" spans="1:9" x14ac:dyDescent="0.35">
      <c r="A40" s="66" t="s">
        <v>187</v>
      </c>
      <c r="B40" s="65"/>
      <c r="C40" s="65"/>
      <c r="D40" s="65"/>
      <c r="E40" s="65"/>
      <c r="F40" s="65"/>
      <c r="G40" s="65"/>
      <c r="H40" s="65"/>
      <c r="I40" s="65"/>
    </row>
    <row r="41" spans="1:9" x14ac:dyDescent="0.35">
      <c r="A41" s="1" t="s">
        <v>177</v>
      </c>
      <c r="B41" s="1" t="s">
        <v>178</v>
      </c>
      <c r="C41" s="1" t="s">
        <v>179</v>
      </c>
      <c r="D41" s="1" t="s">
        <v>180</v>
      </c>
      <c r="E41" s="1" t="s">
        <v>5</v>
      </c>
      <c r="F41" s="32" t="s">
        <v>181</v>
      </c>
      <c r="G41" s="1" t="s">
        <v>182</v>
      </c>
      <c r="H41" s="1" t="s">
        <v>183</v>
      </c>
      <c r="I41" s="1" t="s">
        <v>184</v>
      </c>
    </row>
    <row r="42" spans="1:9" x14ac:dyDescent="0.35">
      <c r="A42" s="6" t="s">
        <v>65</v>
      </c>
      <c r="B42" s="7">
        <v>2</v>
      </c>
      <c r="C42" s="7">
        <v>1</v>
      </c>
      <c r="D42" s="6">
        <f>IF(AND(ISNUMBER(B42), ISNUMBER(C42)), B42*C42*$B$3, "")</f>
        <v>16</v>
      </c>
      <c r="E42" s="6">
        <f>IF(A42="","",VLOOKUP(A42, Base_Donnees!A:F, 6, FALSE))</f>
        <v>410.55</v>
      </c>
      <c r="F42" s="33">
        <f>IF(ISNUMBER(D42), D42*E42, "")</f>
        <v>6568.8</v>
      </c>
      <c r="G42" s="6">
        <f>IF(A42="","",IF(ISNUMBER(D42), IFERROR((D42/VLOOKUP(A42, Base_Donnees!A:F, 3, FALSE))*1000, "-"), ""))</f>
        <v>27.118644067796609</v>
      </c>
      <c r="H42" s="6" t="str">
        <f>IF(A42="","",VLOOKUP(A42, Base_Donnees!A:F, 4, FALSE))</f>
        <v>4 min</v>
      </c>
      <c r="I42" s="6" t="str">
        <f>IF(A42="","",VLOOKUP(A42, Base_Donnees!A:F, 5, FALSE))</f>
        <v>Idéal pour chélater et nettoyer les goutteurs.</v>
      </c>
    </row>
    <row r="43" spans="1:9" x14ac:dyDescent="0.35">
      <c r="A43" s="6" t="s">
        <v>69</v>
      </c>
      <c r="B43" s="7">
        <v>1</v>
      </c>
      <c r="C43" s="7">
        <v>1</v>
      </c>
      <c r="D43" s="6">
        <f>IF(AND(ISNUMBER(B43), ISNUMBER(C43)), B43*C43*$B$3, "")</f>
        <v>8</v>
      </c>
      <c r="E43" s="6">
        <f>IF(A43="","",VLOOKUP(A43, Base_Donnees!A:F, 6, FALSE))</f>
        <v>3000</v>
      </c>
      <c r="F43" s="33">
        <f>IF(ISNUMBER(D43), D43*E43, "")</f>
        <v>24000</v>
      </c>
      <c r="G43" s="6">
        <f>IF(A43="","",IF(ISNUMBER(D43), IFERROR((D43/VLOOKUP(A43, Base_Donnees!A:F, 3, FALSE))*1000, "-"), ""))</f>
        <v>24.242424242424242</v>
      </c>
      <c r="H43" s="6" t="str">
        <f>IF(A43="","",VLOOKUP(A43, Base_Donnees!A:F, 4, FALSE))</f>
        <v>5 min</v>
      </c>
      <c r="I43" s="6" t="str">
        <f>IF(A43="","",VLOOKUP(A43, Base_Donnees!A:F, 5, FALSE))</f>
        <v>Soutient la plante contre le stress thermique saharien.</v>
      </c>
    </row>
    <row r="45" spans="1:9" x14ac:dyDescent="0.35">
      <c r="E45" s="8" t="s">
        <v>189</v>
      </c>
      <c r="F45" s="35">
        <f>SUM(F10,F14,F15,F16,F20,F24,F25,F30,F34,F38,F42,F43)</f>
        <v>76091.200000000012</v>
      </c>
    </row>
    <row r="47" spans="1:9" x14ac:dyDescent="0.35">
      <c r="A47" s="64" t="s">
        <v>190</v>
      </c>
      <c r="B47" s="65"/>
      <c r="C47" s="65"/>
      <c r="D47" s="65"/>
      <c r="E47" s="65"/>
      <c r="F47" s="65"/>
      <c r="G47" s="65"/>
      <c r="H47" s="65"/>
      <c r="I47" s="65"/>
    </row>
    <row r="48" spans="1:9" x14ac:dyDescent="0.35">
      <c r="A48" s="10" t="s">
        <v>191</v>
      </c>
      <c r="B48" s="10" t="s">
        <v>192</v>
      </c>
      <c r="C48" s="10" t="s">
        <v>193</v>
      </c>
      <c r="D48" s="10" t="s">
        <v>194</v>
      </c>
      <c r="E48" s="10" t="s">
        <v>5</v>
      </c>
      <c r="F48" s="36" t="s">
        <v>195</v>
      </c>
      <c r="G48" s="10" t="s">
        <v>196</v>
      </c>
      <c r="H48" s="10" t="s">
        <v>197</v>
      </c>
      <c r="I48" s="10"/>
    </row>
    <row r="49" spans="1:9" x14ac:dyDescent="0.35">
      <c r="A49" s="6"/>
      <c r="B49" s="7"/>
      <c r="C49" s="6">
        <f>$B$3</f>
        <v>8</v>
      </c>
      <c r="D49" s="6" t="str">
        <f>IF(ISNUMBER(B49), B49*C49, "")</f>
        <v/>
      </c>
      <c r="E49" s="6" t="str">
        <f>IF(A49="","",VLOOKUP(A49, Base_Donnees!A:F, 6, FALSE))</f>
        <v/>
      </c>
      <c r="F49" s="33" t="str">
        <f>IF(ISNUMBER(D49), D49*E49, "")</f>
        <v/>
      </c>
      <c r="G49" s="6" t="str">
        <f>IF(A49="","",VLOOKUP(A49, Base_Donnees!A:F, 5, FALSE))</f>
        <v/>
      </c>
      <c r="H49" s="6" t="str">
        <f>IF(A49="","",VLOOKUP(A49, Base_Donnees!A:F, 4, FALSE))</f>
        <v/>
      </c>
      <c r="I49" s="6"/>
    </row>
    <row r="50" spans="1:9" x14ac:dyDescent="0.35">
      <c r="A50" s="6"/>
      <c r="B50" s="7"/>
      <c r="C50" s="6">
        <f>$B$3</f>
        <v>8</v>
      </c>
      <c r="D50" s="6" t="str">
        <f>IF(ISNUMBER(B50), B50*C50, "")</f>
        <v/>
      </c>
      <c r="E50" s="6" t="str">
        <f>IF(A50="","",VLOOKUP(A50, Base_Donnees!A:F, 6, FALSE))</f>
        <v/>
      </c>
      <c r="F50" s="33" t="str">
        <f>IF(ISNUMBER(D50), D50*E50, "")</f>
        <v/>
      </c>
      <c r="G50" s="6" t="str">
        <f>IF(A50="","",VLOOKUP(A50, Base_Donnees!A:F, 5, FALSE))</f>
        <v/>
      </c>
      <c r="H50" s="6" t="str">
        <f>IF(A50="","",VLOOKUP(A50, Base_Donnees!A:F, 4, FALSE))</f>
        <v/>
      </c>
      <c r="I50" s="6"/>
    </row>
    <row r="51" spans="1:9" x14ac:dyDescent="0.35">
      <c r="A51" s="6"/>
      <c r="B51" s="7"/>
      <c r="C51" s="6">
        <f>$B$3</f>
        <v>8</v>
      </c>
      <c r="D51" s="6" t="str">
        <f>IF(ISNUMBER(B51), B51*C51, "")</f>
        <v/>
      </c>
      <c r="E51" s="6" t="str">
        <f>IF(A51="","",VLOOKUP(A51, Base_Donnees!A:F, 6, FALSE))</f>
        <v/>
      </c>
      <c r="F51" s="33" t="str">
        <f>IF(ISNUMBER(D51), D51*E51, "")</f>
        <v/>
      </c>
      <c r="G51" s="6" t="str">
        <f>IF(A51="","",VLOOKUP(A51, Base_Donnees!A:F, 5, FALSE))</f>
        <v/>
      </c>
      <c r="H51" s="6" t="str">
        <f>IF(A51="","",VLOOKUP(A51, Base_Donnees!A:F, 4, FALSE))</f>
        <v/>
      </c>
      <c r="I51" s="6"/>
    </row>
    <row r="52" spans="1:9" x14ac:dyDescent="0.35">
      <c r="E52" s="8" t="s">
        <v>198</v>
      </c>
      <c r="F52" s="37">
        <f>SUM(F49,F50,F51)</f>
        <v>0</v>
      </c>
    </row>
    <row r="54" spans="1:9" x14ac:dyDescent="0.35">
      <c r="A54" s="64" t="s">
        <v>199</v>
      </c>
      <c r="B54" s="65"/>
      <c r="C54" s="65"/>
      <c r="D54" s="65"/>
      <c r="E54" s="65"/>
      <c r="F54" s="65"/>
      <c r="G54" s="65"/>
      <c r="H54" s="65"/>
      <c r="I54" s="65"/>
    </row>
    <row r="55" spans="1:9" x14ac:dyDescent="0.35">
      <c r="A55" s="12" t="s">
        <v>200</v>
      </c>
      <c r="B55" s="12" t="s">
        <v>201</v>
      </c>
      <c r="C55" s="12" t="s">
        <v>193</v>
      </c>
      <c r="D55" s="12" t="s">
        <v>194</v>
      </c>
      <c r="E55" s="12" t="s">
        <v>5</v>
      </c>
      <c r="F55" s="38" t="s">
        <v>195</v>
      </c>
      <c r="G55" s="12" t="s">
        <v>202</v>
      </c>
      <c r="H55" s="12" t="s">
        <v>203</v>
      </c>
      <c r="I55" s="12" t="s">
        <v>204</v>
      </c>
    </row>
    <row r="56" spans="1:9" x14ac:dyDescent="0.35">
      <c r="A56" s="6"/>
      <c r="B56" s="7"/>
      <c r="C56" s="6">
        <f>$B$3</f>
        <v>8</v>
      </c>
      <c r="D56" s="6" t="str">
        <f>IF(ISNUMBER(B56), B56*C56, "")</f>
        <v/>
      </c>
      <c r="E56" s="6" t="str">
        <f>IF(A56="","",VLOOKUP(A56, Base_Donnees!A:F, 6, FALSE))</f>
        <v/>
      </c>
      <c r="F56" s="33" t="str">
        <f>IF(ISNUMBER(D56), D56*E56, "")</f>
        <v/>
      </c>
      <c r="G56" s="6" t="str">
        <f>IF(A56="","",VLOOKUP(A56, Base_Donnees!A:F, 3, FALSE))</f>
        <v/>
      </c>
      <c r="H56" s="6" t="str">
        <f>IF(A56="","",VLOOKUP(A56, Base_Donnees!A:F, 4, FALSE))</f>
        <v/>
      </c>
      <c r="I56" s="6" t="str">
        <f>IF(A56="","",VLOOKUP(A56, Base_Donnees!A:F, 5, FALSE))</f>
        <v/>
      </c>
    </row>
    <row r="57" spans="1:9" x14ac:dyDescent="0.35">
      <c r="A57" s="6"/>
      <c r="B57" s="7"/>
      <c r="C57" s="6">
        <f>$B$3</f>
        <v>8</v>
      </c>
      <c r="D57" s="6" t="str">
        <f>IF(ISNUMBER(B57), B57*C57, "")</f>
        <v/>
      </c>
      <c r="E57" s="6" t="str">
        <f>IF(A57="","",VLOOKUP(A57, Base_Donnees!A:F, 6, FALSE))</f>
        <v/>
      </c>
      <c r="F57" s="33" t="str">
        <f>IF(ISNUMBER(D57), D57*E57, "")</f>
        <v/>
      </c>
      <c r="G57" s="6" t="str">
        <f>IF(A57="","",VLOOKUP(A57, Base_Donnees!A:F, 3, FALSE))</f>
        <v/>
      </c>
      <c r="H57" s="6" t="str">
        <f>IF(A57="","",VLOOKUP(A57, Base_Donnees!A:F, 4, FALSE))</f>
        <v/>
      </c>
      <c r="I57" s="6" t="str">
        <f>IF(A57="","",VLOOKUP(A57, Base_Donnees!A:F, 5, FALSE))</f>
        <v/>
      </c>
    </row>
    <row r="58" spans="1:9" x14ac:dyDescent="0.35">
      <c r="A58" s="6"/>
      <c r="B58" s="7"/>
      <c r="C58" s="6">
        <f>$B$3</f>
        <v>8</v>
      </c>
      <c r="D58" s="6" t="str">
        <f>IF(ISNUMBER(B58), B58*C58, "")</f>
        <v/>
      </c>
      <c r="E58" s="6" t="str">
        <f>IF(A58="","",VLOOKUP(A58, Base_Donnees!A:F, 6, FALSE))</f>
        <v/>
      </c>
      <c r="F58" s="33" t="str">
        <f>IF(ISNUMBER(D58), D58*E58, "")</f>
        <v/>
      </c>
      <c r="G58" s="6" t="str">
        <f>IF(A58="","",VLOOKUP(A58, Base_Donnees!A:F, 3, FALSE))</f>
        <v/>
      </c>
      <c r="H58" s="6" t="str">
        <f>IF(A58="","",VLOOKUP(A58, Base_Donnees!A:F, 4, FALSE))</f>
        <v/>
      </c>
      <c r="I58" s="6" t="str">
        <f>IF(A58="","",VLOOKUP(A58, Base_Donnees!A:F, 5, FALSE))</f>
        <v/>
      </c>
    </row>
    <row r="59" spans="1:9" x14ac:dyDescent="0.35">
      <c r="E59" s="8" t="s">
        <v>205</v>
      </c>
      <c r="F59" s="37">
        <f>SUM(F56,F57,F58)</f>
        <v>0</v>
      </c>
    </row>
  </sheetData>
  <mergeCells count="13">
    <mergeCell ref="A54:I54"/>
    <mergeCell ref="A1:I1"/>
    <mergeCell ref="A40:I40"/>
    <mergeCell ref="A18:I18"/>
    <mergeCell ref="A27:I27"/>
    <mergeCell ref="A8:I8"/>
    <mergeCell ref="A22:I22"/>
    <mergeCell ref="A12:I12"/>
    <mergeCell ref="A7:I7"/>
    <mergeCell ref="A47:I47"/>
    <mergeCell ref="A28:I28"/>
    <mergeCell ref="A32:I32"/>
    <mergeCell ref="A36:I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Mars_Avril_Mai_1H30</vt:lpstr>
      <vt:lpstr>Fin_Mai_Juin_2H30</vt:lpstr>
      <vt:lpstr>Base_Donnees</vt:lpstr>
      <vt:lpstr>Résumé_Fournisseurs</vt:lpstr>
      <vt:lpstr>Résumé_Par_Espèce</vt:lpstr>
      <vt:lpstr>09_Mars_Nectarine</vt:lpstr>
      <vt:lpstr>09_Mars_Pommier</vt:lpstr>
      <vt:lpstr>17_Mars_Olivier</vt:lpstr>
      <vt:lpstr>01_Avril_Nectarine</vt:lpstr>
      <vt:lpstr>01_Avril_Pommier</vt:lpstr>
      <vt:lpstr>20_Avril_Nectarine</vt:lpstr>
      <vt:lpstr>06_Mai_Nectarine</vt:lpstr>
      <vt:lpstr>06_Mai_Pommier</vt:lpstr>
      <vt:lpstr>06_Mai_Olivier</vt:lpstr>
      <vt:lpstr>28_Mai_Nectarine_RED</vt:lpstr>
      <vt:lpstr>28_Mai_Nectarine_NAB</vt:lpstr>
      <vt:lpstr>28_Mai_Pommier</vt:lpstr>
      <vt:lpstr>28_Mai_Olivier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abderrahmane Allal</cp:lastModifiedBy>
  <dcterms:created xsi:type="dcterms:W3CDTF">2026-06-08T11:35:40Z</dcterms:created>
  <dcterms:modified xsi:type="dcterms:W3CDTF">2026-06-20T19:40:26Z</dcterms:modified>
</cp:coreProperties>
</file>