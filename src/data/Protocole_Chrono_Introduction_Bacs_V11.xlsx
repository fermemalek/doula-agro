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e_Chrono_AZUD_V11" sheetId="1" state="visible" r:id="rId1"/>
    <sheet xmlns:r="http://schemas.openxmlformats.org/officeDocument/2006/relationships" name="Donnees_Engrais_P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&quot; DA&quot;"/>
    <numFmt numFmtId="165" formatCode="#,##0&quot; min&quot;"/>
    <numFmt numFmtId="166" formatCode="#,##0&quot; Cycles&quot;"/>
  </numFmts>
  <fonts count="8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  <font>
      <name val="Segoe UI"/>
      <i val="1"/>
      <color rgb="00595959"/>
      <sz val="9"/>
    </font>
    <font>
      <name val="Segoe UI"/>
      <b val="1"/>
      <color rgb="001F4E78"/>
      <sz val="10"/>
    </font>
    <font>
      <name val="Segoe UI"/>
      <b val="1"/>
      <color rgb="001F4E78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DCDB"/>
        <bgColor rgb="00F2DCDB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7" borderId="1" pivotButton="0" quotePrefix="0" xfId="0"/>
    <xf numFmtId="0" fontId="0" fillId="7" borderId="1" pivotButton="0" quotePrefix="0" xfId="0"/>
    <xf numFmtId="165" fontId="3" fillId="7" borderId="1" applyAlignment="1" pivotButton="0" quotePrefix="0" xfId="0">
      <alignment horizontal="center" vertical="center" wrapText="1"/>
    </xf>
    <xf numFmtId="166" fontId="3" fillId="7" borderId="1" applyAlignment="1" pivotButton="0" quotePrefix="0" xfId="0">
      <alignment horizontal="center" vertical="center" wrapText="1"/>
    </xf>
    <xf numFmtId="165" fontId="7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8" customWidth="1" min="3" max="3"/>
    <col width="22" customWidth="1" min="4" max="4"/>
    <col width="24" customWidth="1" min="5" max="5"/>
    <col width="23" customWidth="1" min="6" max="6"/>
    <col width="26" customWidth="1" min="7" max="7"/>
    <col width="49" customWidth="1" min="8" max="8"/>
    <col width="60" customWidth="1" min="9" max="9"/>
  </cols>
  <sheetData>
    <row r="1" ht="35" customHeight="1">
      <c r="A1" s="1" t="inlineStr">
        <is>
          <t>PLANNING CHRONOLOGIQUE DES INTRODUCTIONS ET DU SOUFFLET D'AIR (V11)</t>
        </is>
      </c>
    </row>
    <row r="2"/>
    <row r="3" ht="26" customHeight="1">
      <c r="A3" s="2" t="inlineStr">
        <is>
          <t>Bac cible</t>
        </is>
      </c>
      <c r="B3" s="2" t="inlineStr">
        <is>
          <t>Ordre Intro</t>
        </is>
      </c>
      <c r="C3" s="2" t="inlineStr">
        <is>
          <t>Nom de l'Engrais / Produit</t>
        </is>
      </c>
      <c r="D3" s="2" t="inlineStr">
        <is>
          <t>Brassage Réel (min)</t>
        </is>
      </c>
      <c r="E3" s="2" t="inlineStr">
        <is>
          <t>Nbre Cycles Air (M/A)</t>
        </is>
      </c>
      <c r="F3" s="2" t="inlineStr">
        <is>
          <t>Chrono Terrain (min)</t>
        </is>
      </c>
      <c r="G3" s="2" t="inlineStr">
        <is>
          <t>Statut Soufflerie Air</t>
        </is>
      </c>
      <c r="H3" s="2" t="inlineStr">
        <is>
          <t>Prix Unitaire Relevé</t>
        </is>
      </c>
      <c r="I3" s="2" t="inlineStr">
        <is>
          <t>Règle Opérationnelle à l'Introduction</t>
        </is>
      </c>
    </row>
    <row r="4" ht="22" customHeight="1">
      <c r="A4" s="3" t="inlineStr">
        <is>
          <t>BAC B (Macro-nutrition)</t>
        </is>
      </c>
      <c r="B4" s="4" t="n">
        <v>1</v>
      </c>
      <c r="C4" s="5" t="inlineStr">
        <is>
          <t>Acide Phosphorique / حامض فوسفوريك</t>
        </is>
      </c>
      <c r="D4" s="4" t="n">
        <v>2</v>
      </c>
      <c r="E4" s="4">
        <f>ROUNDUP(D4/5,0)</f>
        <v/>
      </c>
      <c r="F4" s="3">
        <f>(E4*7)-2</f>
        <v/>
      </c>
      <c r="G4" s="6">
        <f>"5 min ON / 2 min OFF"</f>
        <v/>
      </c>
      <c r="H4" s="7">
        <f>VLOOKUP(C4,Donnees_Engrais_Prix!A:E,4,FALSE)</f>
        <v/>
      </c>
      <c r="I4" s="8" t="inlineStr">
        <is>
          <t>À verser au tout début du premier cycle de marche. Acidifie l'eau pour les poudres.</t>
        </is>
      </c>
    </row>
    <row r="5" ht="22" customHeight="1">
      <c r="A5" s="3" t="inlineStr">
        <is>
          <t>BAC B (Macro-nutrition)</t>
        </is>
      </c>
      <c r="B5" s="4" t="n">
        <v>2</v>
      </c>
      <c r="C5" s="5" t="inlineStr">
        <is>
          <t>Sulfate de Potassium / سلفات البوتاسيوم SOP</t>
        </is>
      </c>
      <c r="D5" s="4" t="n">
        <v>10</v>
      </c>
      <c r="E5" s="4">
        <f>ROUNDUP(D5/5,0)</f>
        <v/>
      </c>
      <c r="F5" s="3">
        <f>(E5*7)-2</f>
        <v/>
      </c>
      <c r="G5" s="6">
        <f>"5 min ON / 2 min OFF"</f>
        <v/>
      </c>
      <c r="H5" s="7">
        <f>VLOOKUP(C5,Donnees_Engrais_Prix!A:E,4,FALSE)</f>
        <v/>
      </c>
      <c r="I5" s="8" t="inlineStr">
        <is>
          <t>CRITIQUE : Verser très lentement en pluie fine face aux bulles d'air. Ne jamais vider d'un coup.</t>
        </is>
      </c>
    </row>
    <row r="6" ht="22" customHeight="1">
      <c r="A6" s="3" t="inlineStr">
        <is>
          <t>BAC B (Macro-nutrition)</t>
        </is>
      </c>
      <c r="B6" s="4" t="n">
        <v>3</v>
      </c>
      <c r="C6" s="5" t="inlineStr">
        <is>
          <t>MKP (0-52-34) / ام كي بي</t>
        </is>
      </c>
      <c r="D6" s="4" t="n">
        <v>5</v>
      </c>
      <c r="E6" s="4">
        <f>ROUNDUP(D6/5,0)</f>
        <v/>
      </c>
      <c r="F6" s="3">
        <f>(E6*7)-2</f>
        <v/>
      </c>
      <c r="G6" s="6">
        <f>"5 min ON / 2 min OFF"</f>
        <v/>
      </c>
      <c r="H6" s="7">
        <f>VLOOKUP(C6,Donnees_Engrais_Prix!A:E,4,FALSE)</f>
        <v/>
      </c>
      <c r="I6" s="8" t="inlineStr">
        <is>
          <t>Introduire au deuxième cycle de marche. Demande un bouillonnement constant.</t>
        </is>
      </c>
    </row>
    <row r="7" ht="22" customHeight="1">
      <c r="A7" s="3" t="inlineStr">
        <is>
          <t>BAC B (Macro-nutrition)</t>
        </is>
      </c>
      <c r="B7" s="4" t="n">
        <v>4</v>
      </c>
      <c r="C7" s="5" t="inlineStr">
        <is>
          <t>MAP (12-61-0) / ماب</t>
        </is>
      </c>
      <c r="D7" s="4" t="n">
        <v>5</v>
      </c>
      <c r="E7" s="4">
        <f>ROUNDUP(D7/5,0)</f>
        <v/>
      </c>
      <c r="F7" s="3">
        <f>(E7*7)-2</f>
        <v/>
      </c>
      <c r="G7" s="6">
        <f>"5 min ON / 2 min OFF"</f>
        <v/>
      </c>
      <c r="H7" s="7">
        <f>VLOOKUP(C7,Donnees_Engrais_Prix!A:E,4,FALSE)</f>
        <v/>
      </c>
      <c r="I7" s="8" t="inlineStr">
        <is>
          <t>Introduire au troisième cycle de marche. Profite de l'eau déjà bien acide.</t>
        </is>
      </c>
    </row>
    <row r="8" ht="22" customHeight="1">
      <c r="A8" s="3" t="inlineStr">
        <is>
          <t>BAC B (Macro-nutrition)</t>
        </is>
      </c>
      <c r="B8" s="4" t="n">
        <v>5</v>
      </c>
      <c r="C8" s="5" t="inlineStr">
        <is>
          <t>DAP / داب</t>
        </is>
      </c>
      <c r="D8" s="4" t="n">
        <v>5</v>
      </c>
      <c r="E8" s="4">
        <f>ROUNDUP(D8/5,0)</f>
        <v/>
      </c>
      <c r="F8" s="3">
        <f>(E8*7)-2</f>
        <v/>
      </c>
      <c r="G8" s="6">
        <f>"5 min ON / 2 min OFF"</f>
        <v/>
      </c>
      <c r="H8" s="7">
        <f>VLOOKUP(C8,Donnees_Engrais_Prix!A:E,4,FALSE)</f>
        <v/>
      </c>
      <c r="I8" s="8" t="inlineStr">
        <is>
          <t>Optionnel selon formule. Laisser le flux d'air casser les grains.</t>
        </is>
      </c>
    </row>
    <row r="9" ht="22" customHeight="1">
      <c r="A9" s="3" t="inlineStr">
        <is>
          <t>BAC B (Macro-nutrition)</t>
        </is>
      </c>
      <c r="B9" s="4" t="n">
        <v>6</v>
      </c>
      <c r="C9" s="5" t="inlineStr">
        <is>
          <t>Nitrate de Potassium / نترات البوتاسيوم</t>
        </is>
      </c>
      <c r="D9" s="4" t="n">
        <v>5</v>
      </c>
      <c r="E9" s="4">
        <f>ROUNDUP(D9/5,0)</f>
        <v/>
      </c>
      <c r="F9" s="3">
        <f>(E9*7)-2</f>
        <v/>
      </c>
      <c r="G9" s="6">
        <f>"5 min ON / 2 min OFF"</f>
        <v/>
      </c>
      <c r="H9" s="7">
        <f>VLOOKUP(C9,Donnees_Engrais_Prix!A:E,4,FALSE)</f>
        <v/>
      </c>
      <c r="I9" s="8" t="inlineStr">
        <is>
          <t>Introduire au quatrième cycle. Attention, refroidit l'eau du puits.</t>
        </is>
      </c>
    </row>
    <row r="10" ht="22" customHeight="1">
      <c r="A10" s="3" t="inlineStr">
        <is>
          <t>BAC B (Macro-nutrition)</t>
        </is>
      </c>
      <c r="B10" s="4" t="n">
        <v>7</v>
      </c>
      <c r="C10" s="5" t="inlineStr">
        <is>
          <t>Sulfate de Magnésium / سلفات ماغنسيوم</t>
        </is>
      </c>
      <c r="D10" s="4" t="n">
        <v>2</v>
      </c>
      <c r="E10" s="4">
        <f>ROUNDUP(D10/5,0)</f>
        <v/>
      </c>
      <c r="F10" s="3">
        <f>(E10*7)-2</f>
        <v/>
      </c>
      <c r="G10" s="6">
        <f>"5 min ON / 2 min OFF"</f>
        <v/>
      </c>
      <c r="H10" s="7">
        <f>VLOOKUP(C10,Donnees_Engrais_Prix!A:E,4,FALSE)</f>
        <v/>
      </c>
      <c r="I10" s="8" t="inlineStr">
        <is>
          <t>Très soluble, fond rapidement en milieu de cycle.</t>
        </is>
      </c>
    </row>
    <row r="11" ht="22" customHeight="1">
      <c r="A11" s="3" t="inlineStr">
        <is>
          <t>BAC B (Macro-nutrition)</t>
        </is>
      </c>
      <c r="B11" s="4" t="n">
        <v>8</v>
      </c>
      <c r="C11" s="5" t="inlineStr">
        <is>
          <t>Nitrate de Magnésium / نترات ماغنسيوم</t>
        </is>
      </c>
      <c r="D11" s="4" t="n">
        <v>2</v>
      </c>
      <c r="E11" s="4">
        <f>ROUNDUP(D11/5,0)</f>
        <v/>
      </c>
      <c r="F11" s="3">
        <f>(E11*7)-2</f>
        <v/>
      </c>
      <c r="G11" s="6">
        <f>"5 min ON / 2 min OFF"</f>
        <v/>
      </c>
      <c r="H11" s="7">
        <f>VLOOKUP(C11,Donnees_Engrais_Prix!A:E,4,FALSE)</f>
        <v/>
      </c>
      <c r="I11" s="8" t="inlineStr">
        <is>
          <t>Complète le magnésium. Dissolution facile.</t>
        </is>
      </c>
    </row>
    <row r="12" ht="22" customHeight="1">
      <c r="A12" s="3" t="inlineStr">
        <is>
          <t>BAC B (Macro-nutrition)</t>
        </is>
      </c>
      <c r="B12" s="4" t="n">
        <v>9</v>
      </c>
      <c r="C12" s="5" t="inlineStr">
        <is>
          <t>Urée / يوريا</t>
        </is>
      </c>
      <c r="D12" s="4" t="n">
        <v>3</v>
      </c>
      <c r="E12" s="4">
        <f>ROUNDUP(D12/5,0)</f>
        <v/>
      </c>
      <c r="F12" s="3">
        <f>(E12*7)-2</f>
        <v/>
      </c>
      <c r="G12" s="6">
        <f>"5 min ON / 2 min OFF"</f>
        <v/>
      </c>
      <c r="H12" s="7">
        <f>VLOOKUP(C12,Donnees_Engrais_Prix!A:E,4,FALSE)</f>
        <v/>
      </c>
      <c r="I12" s="8" t="inlineStr">
        <is>
          <t>Placer obligatoirement à la fin pour éviter que le gel de l'eau ne bloque le SOP.</t>
        </is>
      </c>
    </row>
    <row r="13" ht="22" customHeight="1">
      <c r="A13" s="3" t="inlineStr">
        <is>
          <t>BAC B (Macro-nutrition)</t>
        </is>
      </c>
      <c r="B13" s="4" t="n">
        <v>10</v>
      </c>
      <c r="C13" s="5" t="inlineStr">
        <is>
          <t>Sulfate d'Ammonium / سلفات أمونيوم</t>
        </is>
      </c>
      <c r="D13" s="4" t="n">
        <v>2</v>
      </c>
      <c r="E13" s="4">
        <f>ROUNDUP(D13/5,0)</f>
        <v/>
      </c>
      <c r="F13" s="3">
        <f>(E13*7)-2</f>
        <v/>
      </c>
      <c r="G13" s="6">
        <f>"5 min ON / 2 min OFF"</f>
        <v/>
      </c>
      <c r="H13" s="7">
        <f>VLOOKUP(C13,Donnees_Engrais_Prix!A:E,4,FALSE)</f>
        <v/>
      </c>
      <c r="I13" s="8" t="inlineStr">
        <is>
          <t>Action acidifiante racinaire. Se dissout instantanément.</t>
        </is>
      </c>
    </row>
    <row r="14" ht="22" customHeight="1">
      <c r="A14" s="3" t="inlineStr">
        <is>
          <t>BAC B (Macro-nutrition)</t>
        </is>
      </c>
      <c r="B14" s="4" t="n">
        <v>11</v>
      </c>
      <c r="C14" s="5" t="inlineStr">
        <is>
          <t>Nitrate d'Ammonium / نترات أمونيوم</t>
        </is>
      </c>
      <c r="D14" s="4" t="n">
        <v>2</v>
      </c>
      <c r="E14" s="4">
        <f>ROUNDUP(D14/5,0)</f>
        <v/>
      </c>
      <c r="F14" s="3">
        <f>(E14*7)-2</f>
        <v/>
      </c>
      <c r="G14" s="6">
        <f>"5 min ON / 2 min OFF"</f>
        <v/>
      </c>
      <c r="H14" s="7">
        <f>VLOOKUP(C14,Donnees_Engrais_Prix!A:E,4,FALSE)</f>
        <v/>
      </c>
      <c r="I14" s="8" t="inlineStr">
        <is>
          <t>Dernier ajout de croissance azotée rapide. Dissolution éclair.</t>
        </is>
      </c>
    </row>
    <row r="15" ht="22" customHeight="1">
      <c r="A15" s="9" t="inlineStr">
        <is>
          <t>BAC C (Organique/Fer)</t>
        </is>
      </c>
      <c r="B15" s="10" t="n">
        <v>1</v>
      </c>
      <c r="C15" s="11" t="inlineStr">
        <is>
          <t>Fer 6% / حديد 6%</t>
        </is>
      </c>
      <c r="D15" s="10" t="n">
        <v>5</v>
      </c>
      <c r="E15" s="10">
        <f>ROUNDUP(D15/5,0)</f>
        <v/>
      </c>
      <c r="F15" s="9">
        <f>(E15*7)-2</f>
        <v/>
      </c>
      <c r="G15" s="12">
        <f>"5 min ON / 2 min OFF"</f>
        <v/>
      </c>
      <c r="H15" s="13">
        <f>VLOOKUP(C15,Donnees_Engrais_Prix!A:E,4,FALSE)</f>
        <v/>
      </c>
      <c r="I15" s="14" t="inlineStr">
        <is>
          <t>Démarrer l'air à 80% d'eau. La poudre rouge doit se disperser sans grumeaux.</t>
        </is>
      </c>
    </row>
    <row r="16" ht="22" customHeight="1">
      <c r="A16" s="9" t="inlineStr">
        <is>
          <t>BAC C (Organique/Fer)</t>
        </is>
      </c>
      <c r="B16" s="10" t="n">
        <v>2</v>
      </c>
      <c r="C16" s="11" t="inlineStr">
        <is>
          <t>Acide Humique / أسمدة عضوية</t>
        </is>
      </c>
      <c r="D16" s="10" t="n">
        <v>5</v>
      </c>
      <c r="E16" s="10">
        <f>ROUNDUP(D16/5,0)</f>
        <v/>
      </c>
      <c r="F16" s="9">
        <f>(E16*7)-2</f>
        <v/>
      </c>
      <c r="G16" s="12">
        <f>"5 min ON / 2 min OFF"</f>
        <v/>
      </c>
      <c r="H16" s="13">
        <f>VLOOKUP(C16,Donnees_Engrais_Prix!A:E,4,FALSE)</f>
        <v/>
      </c>
      <c r="I16" s="14" t="inlineStr">
        <is>
          <t>Matière dense qui se met en suspension (eau noire). Air continu obligatoire.</t>
        </is>
      </c>
    </row>
    <row r="17" ht="22" customHeight="1">
      <c r="A17" s="15" t="inlineStr">
        <is>
          <t>BAC D (Nettoyage/Oligo)</t>
        </is>
      </c>
      <c r="B17" s="16" t="n">
        <v>1</v>
      </c>
      <c r="C17" s="17" t="inlineStr">
        <is>
          <t>Acide Citrique / حامض سيتريك</t>
        </is>
      </c>
      <c r="D17" s="16" t="n">
        <v>2</v>
      </c>
      <c r="E17" s="16">
        <f>ROUNDUP(D17/5,0)</f>
        <v/>
      </c>
      <c r="F17" s="15">
        <f>(E17*7)-2</f>
        <v/>
      </c>
      <c r="G17" s="18">
        <f>"5 min ON / 2 min OFF"</f>
        <v/>
      </c>
      <c r="H17" s="19">
        <f>VLOOKUP(C17,Donnees_Engrais_Prix!A:E,4,FALSE)</f>
        <v/>
      </c>
      <c r="I17" s="20" t="inlineStr">
        <is>
          <t>Cristaux très fluides. Prépare la chélation en abaissant le pH.</t>
        </is>
      </c>
    </row>
    <row r="18" ht="22" customHeight="1">
      <c r="A18" s="15" t="inlineStr">
        <is>
          <t>BAC D (Nettoyage/Oligo)</t>
        </is>
      </c>
      <c r="B18" s="16" t="n">
        <v>2</v>
      </c>
      <c r="C18" s="17" t="inlineStr">
        <is>
          <t>Acide Ascorbique / اسكوربيك اسيد</t>
        </is>
      </c>
      <c r="D18" s="16" t="n">
        <v>1</v>
      </c>
      <c r="E18" s="16">
        <f>ROUNDUP(D18/5,0)</f>
        <v/>
      </c>
      <c r="F18" s="15">
        <f>(E18*7)-2</f>
        <v/>
      </c>
      <c r="G18" s="18">
        <f>"5 min ON / 2 min OFF"</f>
        <v/>
      </c>
      <c r="H18" s="19">
        <f>VLOOKUP(C18,Donnees_Engrais_Prix!A:E,4,FALSE)</f>
        <v/>
      </c>
      <c r="I18" s="20" t="inlineStr">
        <is>
          <t>Vitamine C de protection. Fusion rapide avec l'acide citrique.</t>
        </is>
      </c>
    </row>
    <row r="19" ht="22" customHeight="1">
      <c r="A19" s="15" t="inlineStr">
        <is>
          <t>BAC D (Nettoyage/Oligo)</t>
        </is>
      </c>
      <c r="B19" s="16" t="n">
        <v>3</v>
      </c>
      <c r="C19" s="17" t="inlineStr">
        <is>
          <t>Oligo-elements / عناصر صغري</t>
        </is>
      </c>
      <c r="D19" s="16" t="n">
        <v>2</v>
      </c>
      <c r="E19" s="16">
        <f>ROUNDUP(D19/5,0)</f>
        <v/>
      </c>
      <c r="F19" s="15">
        <f>(E19*7)-2</f>
        <v/>
      </c>
      <c r="G19" s="18">
        <f>"5 min ON / 2 min OFF"</f>
        <v/>
      </c>
      <c r="H19" s="19">
        <f>VLOOKUP(C19,Donnees_Engrais_Prix!A:E,4,FALSE)</f>
        <v/>
      </c>
      <c r="I19" s="20" t="inlineStr">
        <is>
          <t>Micro-nutriments (Zn, Mn, B). L'eau finale doit être parfaitement limpide.</t>
        </is>
      </c>
    </row>
    <row r="20" ht="22" customHeight="1">
      <c r="A20" s="21" t="inlineStr">
        <is>
          <t>BAC A (Bloc Calcium)</t>
        </is>
      </c>
      <c r="B20" s="22" t="n">
        <v>1</v>
      </c>
      <c r="C20" s="23" t="inlineStr">
        <is>
          <t>Acide Nitrique / حامض نيتريك</t>
        </is>
      </c>
      <c r="D20" s="22" t="n">
        <v>1</v>
      </c>
      <c r="E20" s="22">
        <f>ROUNDUP(D20/5,0)</f>
        <v/>
      </c>
      <c r="F20" s="21">
        <f>(E20*7)-2</f>
        <v/>
      </c>
      <c r="G20" s="24">
        <f>"5 min ON / 2 min OFF"</f>
        <v/>
      </c>
      <c r="H20" s="25">
        <f>VLOOKUP(C20,Donnees_Engrais_Prix!A:E,4,FALSE)</f>
        <v/>
      </c>
      <c r="I20" s="26" t="inlineStr">
        <is>
          <t>DANGER CORROSIF : Gants et lunettes obligatoires. Verser doucement dans l'eau.</t>
        </is>
      </c>
    </row>
    <row r="21" ht="22" customHeight="1">
      <c r="A21" s="21" t="inlineStr">
        <is>
          <t>BAC A (Bloc Calcium)</t>
        </is>
      </c>
      <c r="B21" s="22" t="n">
        <v>2</v>
      </c>
      <c r="C21" s="23" t="inlineStr">
        <is>
          <t>Nitrate de Calcium / نترات كالسـيوم</t>
        </is>
      </c>
      <c r="D21" s="22" t="n">
        <v>4</v>
      </c>
      <c r="E21" s="22">
        <f>ROUNDUP(D21/5,0)</f>
        <v/>
      </c>
      <c r="F21" s="21">
        <f>(E21*7)-2</f>
        <v/>
      </c>
      <c r="G21" s="24">
        <f>"5 min ON / 2 min OFF"</f>
        <v/>
      </c>
      <c r="H21" s="25">
        <f>VLOOKUP(C21,Donnees_Engrais_Prix!A:E,4,FALSE)</f>
        <v/>
      </c>
      <c r="I21" s="26" t="inlineStr">
        <is>
          <t>Engrais d'une solubilité extrême. Dissolution totale sans aucun résidu de sable.</t>
        </is>
      </c>
    </row>
    <row r="22" ht="25" customHeight="1">
      <c r="A22" s="27" t="inlineStr">
        <is>
          <t>TOTAL LOGISTIQUE DU PROGRAMME</t>
        </is>
      </c>
      <c r="B22" s="28" t="n"/>
      <c r="C22" s="28" t="n"/>
      <c r="D22" s="29">
        <f>SUM(D4:D21)</f>
        <v/>
      </c>
      <c r="E22" s="30">
        <f>SUM(E4:E21)</f>
        <v/>
      </c>
      <c r="F22" s="31">
        <f>SUM(F4:F21)</f>
        <v/>
      </c>
      <c r="G22" s="32" t="n"/>
      <c r="H22" s="32" t="n"/>
      <c r="I22" s="28" t="n"/>
    </row>
  </sheetData>
  <mergeCells count="2">
    <mergeCell ref="A1:I1"/>
    <mergeCell ref="A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Type Nutritionnel</t>
        </is>
      </c>
      <c r="C1" t="inlineStr">
        <is>
          <t>Solubilité (g/L)</t>
        </is>
      </c>
      <c r="D1" t="inlineStr">
        <is>
          <t>Prix Unitaire (DA/kg ou L)</t>
        </is>
      </c>
      <c r="E1" t="inlineStr">
        <is>
          <t>Note Technique de Terrain</t>
        </is>
      </c>
    </row>
    <row r="2">
      <c r="A2" t="inlineStr">
        <is>
          <t>Acide Phosphorique / حامض فوسفوريك</t>
        </is>
      </c>
      <c r="B2" t="inlineStr">
        <is>
          <t>Acide / Phosphore</t>
        </is>
      </c>
      <c r="C2" t="n">
        <v>5000</v>
      </c>
      <c r="D2" s="33" t="n">
        <v>461.74</v>
      </c>
      <c r="E2" t="inlineStr">
        <is>
          <t>Sécurité : Toujours verser l'acide dans l'eau. Chute le pH.</t>
        </is>
      </c>
    </row>
    <row r="3">
      <c r="A3" t="inlineStr">
        <is>
          <t>Sulfate de Potassium / سلفات البوتاسيوم SOP</t>
        </is>
      </c>
      <c r="B3" t="inlineStr">
        <is>
          <t>Potassium / Soufre</t>
        </is>
      </c>
      <c r="C3" t="n">
        <v>10</v>
      </c>
      <c r="D3" s="33" t="n">
        <v>168.07</v>
      </c>
      <c r="E3" t="inlineStr">
        <is>
          <t>CRITIQUE : Très difficile à dissoudre. Demande de l'eau acide.</t>
        </is>
      </c>
    </row>
    <row r="4">
      <c r="A4" t="inlineStr">
        <is>
          <t>MKP (0-52-34) / ام كي بي</t>
        </is>
      </c>
      <c r="B4" t="inlineStr">
        <is>
          <t>Phosphore / Potassium</t>
        </is>
      </c>
      <c r="C4" t="n">
        <v>20</v>
      </c>
      <c r="D4" s="33" t="n">
        <v>230</v>
      </c>
      <c r="E4" t="inlineStr">
        <is>
          <t>Idéal pour la phase de fructification. Solubilité moyenne.</t>
        </is>
      </c>
    </row>
    <row r="5">
      <c r="A5" t="inlineStr">
        <is>
          <t>MAP (12-61-0) / ماب</t>
        </is>
      </c>
      <c r="B5" t="inlineStr">
        <is>
          <t>Phosphore / Azote</t>
        </is>
      </c>
      <c r="C5" t="n">
        <v>35</v>
      </c>
      <c r="D5" s="33" t="n">
        <v>461.74</v>
      </c>
      <c r="E5" t="inlineStr">
        <is>
          <t>Source de phosphore pure et hautement acidifiante.</t>
        </is>
      </c>
    </row>
    <row r="6">
      <c r="A6" t="inlineStr">
        <is>
          <t>DAP / داب</t>
        </is>
      </c>
      <c r="B6" t="inlineStr">
        <is>
          <t>Phosphore / Azote</t>
        </is>
      </c>
      <c r="C6" t="n">
        <v>55</v>
      </c>
      <c r="D6" s="33" t="n">
        <v>550</v>
      </c>
      <c r="E6" t="inlineStr">
        <is>
          <t>Vigilance sur sol calcaire (Bénahar pH 8.6).</t>
        </is>
      </c>
    </row>
    <row r="7">
      <c r="A7" t="inlineStr">
        <is>
          <t>Nitrate de Potassium / نترات البوتاسيوم</t>
        </is>
      </c>
      <c r="B7" t="inlineStr">
        <is>
          <t>Potassium / Azote</t>
        </is>
      </c>
      <c r="C7" t="n">
        <v>30</v>
      </c>
      <c r="D7" s="33" t="n">
        <v>218.49</v>
      </c>
      <c r="E7" t="inlineStr">
        <is>
          <t>Sensible à l'eau froide du puits. Ralentit en hiver.</t>
        </is>
      </c>
    </row>
    <row r="8">
      <c r="A8" t="inlineStr">
        <is>
          <t>Sulfate de Magnésium / سلفات ماغنسيوم</t>
        </is>
      </c>
      <c r="B8" t="inlineStr">
        <is>
          <t>Magnésium / Soufre</t>
        </is>
      </c>
      <c r="C8" t="n">
        <v>25</v>
      </c>
      <c r="D8" s="33" t="n">
        <v>201.7</v>
      </c>
      <c r="E8" t="inlineStr">
        <is>
          <t>Sel d'Epsom. Parfaitement compatible dans le bloc B.</t>
        </is>
      </c>
    </row>
    <row r="9">
      <c r="A9" t="inlineStr">
        <is>
          <t>Nitrate de Magnésium / نترات ماغنسيوم</t>
        </is>
      </c>
      <c r="B9" t="inlineStr">
        <is>
          <t>Magnésium / Azote</t>
        </is>
      </c>
      <c r="C9" t="n">
        <v>70</v>
      </c>
      <c r="D9" s="33" t="n">
        <v>218.49</v>
      </c>
      <c r="E9" t="inlineStr">
        <is>
          <t>Excellente source de magnésium, très soluble.</t>
        </is>
      </c>
    </row>
    <row r="10">
      <c r="A10" t="inlineStr">
        <is>
          <t>Urée / يوريا</t>
        </is>
      </c>
      <c r="B10" t="inlineStr">
        <is>
          <t>Azote</t>
        </is>
      </c>
      <c r="C10" t="n">
        <v>105</v>
      </c>
      <c r="D10" s="33" t="n">
        <v>378.15</v>
      </c>
      <c r="E10" t="inlineStr">
        <is>
          <t>Très soluble. Glace fortement l'eau (effet endothermique).</t>
        </is>
      </c>
    </row>
    <row r="11">
      <c r="A11" t="inlineStr">
        <is>
          <t>Sulfate d'Ammonium / سلفات أمونيوم</t>
        </is>
      </c>
      <c r="B11" t="inlineStr">
        <is>
          <t>Azote / Soufre</t>
        </is>
      </c>
      <c r="C11" t="n">
        <v>70</v>
      </c>
      <c r="D11" s="33" t="n">
        <v>75</v>
      </c>
      <c r="E11" t="inlineStr">
        <is>
          <t>Acidification forte de la zone racinaire.</t>
        </is>
      </c>
    </row>
    <row r="12">
      <c r="A12" t="inlineStr">
        <is>
          <t>Nitrate d'Ammonium / نترات أمونيوم</t>
        </is>
      </c>
      <c r="B12" t="inlineStr">
        <is>
          <t>Azote</t>
        </is>
      </c>
      <c r="C12" t="n">
        <v>180</v>
      </c>
      <c r="D12" s="33" t="n">
        <v>190</v>
      </c>
      <c r="E12" t="inlineStr">
        <is>
          <t>Dissolution éclair pour un coup de fouet azoté.</t>
        </is>
      </c>
    </row>
    <row r="13">
      <c r="A13" t="inlineStr">
        <is>
          <t>Fer 6% / حديد 6%</t>
        </is>
      </c>
      <c r="B13" t="inlineStr">
        <is>
          <t>Oligo-élément Chélate</t>
        </is>
      </c>
      <c r="C13" t="n">
        <v>120</v>
      </c>
      <c r="D13" s="33" t="n">
        <v>3450</v>
      </c>
      <c r="E13" t="inlineStr">
        <is>
          <t>Chélate précieux (EDDHA). Sensible aux UV directs.</t>
        </is>
      </c>
    </row>
    <row r="14">
      <c r="A14" t="inlineStr">
        <is>
          <t>Acide Humique / أسمدة عضوية</t>
        </is>
      </c>
      <c r="B14" t="inlineStr">
        <is>
          <t>Organique / Amendement</t>
        </is>
      </c>
      <c r="C14" t="n">
        <v>150</v>
      </c>
      <c r="D14" s="33" t="n">
        <v>2500</v>
      </c>
      <c r="E14" t="inlineStr">
        <is>
          <t>IMPORTANT : Risque de grumeaux si mélangé à un acide fort.</t>
        </is>
      </c>
    </row>
    <row r="15">
      <c r="A15" t="inlineStr">
        <is>
          <t>Acide Citrique / حامض سيتريك</t>
        </is>
      </c>
      <c r="B15" t="inlineStr">
        <is>
          <t>Acide / Nettoyage</t>
        </is>
      </c>
      <c r="C15" t="n">
        <v>590</v>
      </c>
      <c r="D15" s="33" t="n">
        <v>378.15</v>
      </c>
      <c r="E15" t="inlineStr">
        <is>
          <t>Excellent détartrant organique pour vos goutteurs.</t>
        </is>
      </c>
    </row>
    <row r="16">
      <c r="A16" t="inlineStr">
        <is>
          <t>Acide Ascorbique / اسكوربيك اسيد</t>
        </is>
      </c>
      <c r="B16" t="inlineStr">
        <is>
          <t>Acide / Antioxydant</t>
        </is>
      </c>
      <c r="C16" t="n">
        <v>330</v>
      </c>
      <c r="D16" s="33" t="n">
        <v>3000</v>
      </c>
      <c r="E16" t="inlineStr">
        <is>
          <t>Vitamine C. Protéger de la lumière directe.</t>
        </is>
      </c>
    </row>
    <row r="17">
      <c r="A17" t="inlineStr">
        <is>
          <t>Oligo-elements / عناصر صغري</t>
        </is>
      </c>
      <c r="B17" t="inlineStr">
        <is>
          <t>Oligo-éléments</t>
        </is>
      </c>
      <c r="C17" t="n">
        <v>150</v>
      </c>
      <c r="D17" s="33" t="n">
        <v>3450</v>
      </c>
      <c r="E17" t="inlineStr">
        <is>
          <t>Apport complet de micro-nutriments métalliques.</t>
        </is>
      </c>
    </row>
    <row r="18">
      <c r="A18" t="inlineStr">
        <is>
          <t>Nitrate de Calcium / نترات كالسـيوم</t>
        </is>
      </c>
      <c r="B18" t="inlineStr">
        <is>
          <t>Calcium / Azote</t>
        </is>
      </c>
      <c r="C18" t="n">
        <v>120</v>
      </c>
      <c r="D18" s="33" t="n">
        <v>134.45</v>
      </c>
      <c r="E18" t="inlineStr">
        <is>
          <t>CRITIQUE : Isoler totalement des Sulfates et Phosphates.</t>
        </is>
      </c>
    </row>
    <row r="19">
      <c r="A19" t="inlineStr">
        <is>
          <t>Acide Nitrique / حامض نيتريك</t>
        </is>
      </c>
      <c r="B19" t="inlineStr">
        <is>
          <t>Acide / Azote</t>
        </is>
      </c>
      <c r="C19" t="n">
        <v>5000</v>
      </c>
      <c r="D19" s="33" t="n">
        <v>378.15</v>
      </c>
      <c r="E19" t="inlineStr">
        <is>
          <t>CORROSIF : Gants + lunettes de protection obligatoires.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2026-05-30T16:55:40Z</dcterms:created>
  <dcterms:modified xmlns:dcterms="http://purl.org/dc/terms/" xmlns:xsi="http://www.w3.org/2001/XMLSchema-instance" xsi:type="dcterms:W3CDTF">2026-05-30T16:55:40Z</dcterms:modified>
</cp:coreProperties>
</file>