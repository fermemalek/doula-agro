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Malek\One Driver\ferme\Antigravity\farm-friendy-main\src\data\"/>
    </mc:Choice>
  </mc:AlternateContent>
  <xr:revisionPtr revIDLastSave="0" documentId="8_{78D75E46-2689-40AE-889F-48D64CCEFEC1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Résumé_Fournisseurs" sheetId="1" r:id="rId1"/>
    <sheet name="Résumé_Par_Espèce" sheetId="2" r:id="rId2"/>
    <sheet name="Feuil1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36" i="3" l="1"/>
  <c r="AI35" i="3"/>
  <c r="AI36" i="3" s="1"/>
  <c r="AF35" i="3"/>
  <c r="AF36" i="3" s="1"/>
  <c r="AC35" i="3"/>
  <c r="AC36" i="3" s="1"/>
  <c r="Z35" i="3"/>
  <c r="W35" i="3"/>
  <c r="W36" i="3" s="1"/>
  <c r="Z29" i="3"/>
  <c r="Z30" i="3" s="1"/>
  <c r="Z31" i="3" s="1"/>
  <c r="Z32" i="3" s="1"/>
  <c r="Z33" i="3" s="1"/>
  <c r="Z34" i="3" s="1"/>
  <c r="N29" i="3"/>
  <c r="N30" i="3" s="1"/>
  <c r="N31" i="3" s="1"/>
  <c r="N32" i="3" s="1"/>
  <c r="AI28" i="3"/>
  <c r="AI29" i="3" s="1"/>
  <c r="AI30" i="3" s="1"/>
  <c r="AI31" i="3" s="1"/>
  <c r="AI32" i="3" s="1"/>
  <c r="AI33" i="3" s="1"/>
  <c r="AI34" i="3" s="1"/>
  <c r="AF28" i="3"/>
  <c r="AF29" i="3" s="1"/>
  <c r="AF30" i="3" s="1"/>
  <c r="AF31" i="3" s="1"/>
  <c r="AF32" i="3" s="1"/>
  <c r="AF33" i="3" s="1"/>
  <c r="AF34" i="3" s="1"/>
  <c r="AC28" i="3"/>
  <c r="AC29" i="3" s="1"/>
  <c r="AC30" i="3" s="1"/>
  <c r="AC31" i="3" s="1"/>
  <c r="AC32" i="3" s="1"/>
  <c r="AC33" i="3" s="1"/>
  <c r="AC34" i="3" s="1"/>
  <c r="Z28" i="3"/>
  <c r="W28" i="3"/>
  <c r="W29" i="3" s="1"/>
  <c r="W30" i="3" s="1"/>
  <c r="W31" i="3" s="1"/>
  <c r="W32" i="3" s="1"/>
  <c r="W33" i="3" s="1"/>
  <c r="W34" i="3" s="1"/>
  <c r="T28" i="3"/>
  <c r="T29" i="3" s="1"/>
  <c r="T30" i="3" s="1"/>
  <c r="T31" i="3" s="1"/>
  <c r="T32" i="3" s="1"/>
  <c r="Q28" i="3"/>
  <c r="Q29" i="3" s="1"/>
  <c r="Q30" i="3" s="1"/>
  <c r="Q31" i="3" s="1"/>
  <c r="Q32" i="3" s="1"/>
  <c r="N28" i="3"/>
</calcChain>
</file>

<file path=xl/sharedStrings.xml><?xml version="1.0" encoding="utf-8"?>
<sst xmlns="http://schemas.openxmlformats.org/spreadsheetml/2006/main" count="96" uniqueCount="57">
  <si>
    <t>RÉSUMÉ GLOBAL PAR FOURNISSEUR</t>
  </si>
  <si>
    <t>Fournisseur</t>
  </si>
  <si>
    <t>Montant Total (DA)</t>
  </si>
  <si>
    <t>Pourcentage</t>
  </si>
  <si>
    <t>Agrimax</t>
  </si>
  <si>
    <t>BLIDA</t>
  </si>
  <si>
    <t>HYGINDUST</t>
  </si>
  <si>
    <t>Agro Rafik</t>
  </si>
  <si>
    <t>Agro Bahbah</t>
  </si>
  <si>
    <t>NSDA</t>
  </si>
  <si>
    <t>Agro Kamel</t>
  </si>
  <si>
    <t>TOTAL GLOBAL</t>
  </si>
  <si>
    <t>RÉSUMÉ GLOBAL DES COÛTS PAR ESPÈCE</t>
  </si>
  <si>
    <t>ESPÈCE : NECTARINE</t>
  </si>
  <si>
    <t>Programme / Date</t>
  </si>
  <si>
    <t>Fertigation (DA)</t>
  </si>
  <si>
    <t>Pulvérisation (DA)</t>
  </si>
  <si>
    <t>Phytosanitaire (DA)</t>
  </si>
  <si>
    <t>Coût Total (DA)</t>
  </si>
  <si>
    <t>09 Mars Nectarine</t>
  </si>
  <si>
    <t>01 Avril Nectarine</t>
  </si>
  <si>
    <t>20 Avril Nectarine</t>
  </si>
  <si>
    <t>06 Mai Nectarine</t>
  </si>
  <si>
    <t>28 Mai Nectarine 1</t>
  </si>
  <si>
    <t>28 Mai Nectarine 2</t>
  </si>
  <si>
    <t>SOUS-TOTAL NECTARINE</t>
  </si>
  <si>
    <t>ESPÈCE : POMMIER</t>
  </si>
  <si>
    <t>09 Mars Pommier</t>
  </si>
  <si>
    <t>01 Avril Pommier</t>
  </si>
  <si>
    <t>06 Mai Pommier</t>
  </si>
  <si>
    <t>28 Mai Pommier</t>
  </si>
  <si>
    <t>SOUS-TOTAL POMMIER</t>
  </si>
  <si>
    <t>ESPÈCE : OLIVIER</t>
  </si>
  <si>
    <t>17 Mars Olivier</t>
  </si>
  <si>
    <t>06 Mai Olivier</t>
  </si>
  <si>
    <t>28 Mai Olivier</t>
  </si>
  <si>
    <t>SOUS-TOTAL OLIVIER</t>
  </si>
  <si>
    <t>COÛT GLOBAL DE TOUS LES PROGRAMMES :</t>
  </si>
  <si>
    <t>Semaine 1</t>
  </si>
  <si>
    <t>Semaine 2</t>
  </si>
  <si>
    <t>Semaine 3</t>
  </si>
  <si>
    <t>Semaine 4</t>
  </si>
  <si>
    <t>Semaine 5</t>
  </si>
  <si>
    <t>Mars</t>
  </si>
  <si>
    <t>Avril</t>
  </si>
  <si>
    <t>Mai</t>
  </si>
  <si>
    <t>Semaine 6</t>
  </si>
  <si>
    <t>Juin</t>
  </si>
  <si>
    <t xml:space="preserve">2 pulvérisations </t>
  </si>
  <si>
    <t>1 phytosanitaire</t>
  </si>
  <si>
    <t>09 mars : Nectarines</t>
  </si>
  <si>
    <t>programmes 1 avec 1 app / S</t>
  </si>
  <si>
    <t>09 mars : Pommiers</t>
  </si>
  <si>
    <t>Nectarine Nablara</t>
  </si>
  <si>
    <t>Nectarine REDIX® 25</t>
  </si>
  <si>
    <t>Pommiers 1 et 2</t>
  </si>
  <si>
    <t>Oliviers parcelle 1-2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</si>
</sst>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5"/>
      <color rgb="FF1F497D"/>
      <name val="Arial"/>
    </font>
    <font>
      <b/>
      <sz val="11"/>
      <color rgb="FFFFFFFF"/>
      <name val="Arial"/>
    </font>
    <font>
      <b/>
      <sz val="11"/>
      <name val="Arial"/>
    </font>
    <font>
      <sz val="11"/>
      <name val="Arial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rgb="FFEE0000"/>
      <name val="Calibri"/>
      <family val="2"/>
      <scheme val="minor"/>
    </font>
    <font>
      <b/>
      <sz val="8"/>
      <color rgb="FF002060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7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1F497D"/>
        <bgColor rgb="FF1F497D"/>
      </patternFill>
    </fill>
    <fill>
      <patternFill patternType="solid">
        <fgColor rgb="FFD9E1F2"/>
        <bgColor rgb="FFD9E1F2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27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2" fillId="3" borderId="0" xfId="0" applyFont="1" applyFill="1" applyAlignment="1">
      <alignment horizontal="center" vertical="center"/>
    </xf>
    <xf numFmtId="0" fontId="3" fillId="0" borderId="1" xfId="0" applyFont="1" applyBorder="1"/>
    <xf numFmtId="0" fontId="0" fillId="0" borderId="1" xfId="0" applyBorder="1"/>
    <xf numFmtId="10" fontId="0" fillId="0" borderId="1" xfId="0" applyNumberFormat="1" applyBorder="1"/>
    <xf numFmtId="0" fontId="3" fillId="4" borderId="1" xfId="0" applyFont="1" applyFill="1" applyBorder="1"/>
    <xf numFmtId="10" fontId="0" fillId="4" borderId="1" xfId="0" applyNumberFormat="1" applyFill="1" applyBorder="1"/>
    <xf numFmtId="0" fontId="4" fillId="0" borderId="1" xfId="0" applyFont="1" applyBorder="1"/>
    <xf numFmtId="4" fontId="0" fillId="0" borderId="1" xfId="0" applyNumberFormat="1" applyBorder="1"/>
    <xf numFmtId="4" fontId="3" fillId="0" borderId="1" xfId="0" applyNumberFormat="1" applyFont="1" applyBorder="1"/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1" fillId="7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6" fillId="0" borderId="22" xfId="0" applyFont="1" applyFill="1" applyBorder="1" applyAlignment="1">
      <alignment horizontal="center" vertical="center"/>
    </xf>
    <xf numFmtId="0" fontId="11" fillId="10" borderId="22" xfId="0" applyFont="1" applyFill="1" applyBorder="1" applyAlignment="1">
      <alignment horizontal="center" vertical="center"/>
    </xf>
    <xf numFmtId="0" fontId="12" fillId="11" borderId="22" xfId="0" applyFont="1" applyFill="1" applyBorder="1" applyAlignment="1">
      <alignment horizontal="center" vertical="center"/>
    </xf>
    <xf numFmtId="0" fontId="9" fillId="11" borderId="22" xfId="0" applyFont="1" applyFill="1" applyBorder="1" applyAlignment="1">
      <alignment horizontal="center" vertical="center"/>
    </xf>
    <xf numFmtId="0" fontId="14" fillId="10" borderId="22" xfId="0" applyFont="1" applyFill="1" applyBorder="1" applyAlignment="1">
      <alignment horizontal="center" vertical="center"/>
    </xf>
    <xf numFmtId="0" fontId="13" fillId="0" borderId="5" xfId="0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3" fillId="0" borderId="23" xfId="0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0" fontId="6" fillId="0" borderId="24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13" fillId="12" borderId="22" xfId="0" applyFont="1" applyFill="1" applyBorder="1" applyAlignment="1">
      <alignment horizontal="center" vertical="center"/>
    </xf>
    <xf numFmtId="0" fontId="13" fillId="12" borderId="24" xfId="0" applyFont="1" applyFill="1" applyBorder="1" applyAlignment="1">
      <alignment horizontal="center" vertical="center"/>
    </xf>
    <xf numFmtId="0" fontId="13" fillId="13" borderId="24" xfId="0" applyFont="1" applyFill="1" applyBorder="1" applyAlignment="1">
      <alignment horizontal="center" vertical="center"/>
    </xf>
    <xf numFmtId="0" fontId="13" fillId="13" borderId="22" xfId="0" applyFont="1" applyFill="1" applyBorder="1" applyAlignment="1">
      <alignment horizontal="center" vertical="center"/>
    </xf>
    <xf numFmtId="0" fontId="13" fillId="14" borderId="22" xfId="0" applyFont="1" applyFill="1" applyBorder="1" applyAlignment="1">
      <alignment horizontal="center" vertical="center"/>
    </xf>
    <xf numFmtId="0" fontId="13" fillId="15" borderId="22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2" fillId="9" borderId="4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20" fontId="16" fillId="0" borderId="8" xfId="0" applyNumberFormat="1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20" fontId="16" fillId="0" borderId="21" xfId="0" applyNumberFormat="1" applyFont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0" fillId="16" borderId="8" xfId="0" applyFill="1" applyBorder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0" fillId="8" borderId="0" xfId="0" applyFill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left" vertical="center"/>
    </xf>
    <xf numFmtId="0" fontId="0" fillId="10" borderId="0" xfId="0" applyFill="1" applyAlignment="1">
      <alignment horizontal="center" vertical="center"/>
    </xf>
    <xf numFmtId="0" fontId="18" fillId="11" borderId="0" xfId="0" applyFont="1" applyFill="1" applyAlignment="1">
      <alignment vertical="center"/>
    </xf>
    <xf numFmtId="0" fontId="17" fillId="0" borderId="10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 wrapText="1"/>
    </xf>
    <xf numFmtId="0" fontId="17" fillId="0" borderId="21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20" fontId="16" fillId="0" borderId="22" xfId="0" applyNumberFormat="1" applyFont="1" applyBorder="1" applyAlignment="1">
      <alignment horizontal="center" vertical="center"/>
    </xf>
    <xf numFmtId="20" fontId="16" fillId="0" borderId="26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sqref="A1:C1"/>
    </sheetView>
  </sheetViews>
  <sheetFormatPr baseColWidth="10" defaultColWidth="8.7265625" defaultRowHeight="14.5" x14ac:dyDescent="0.35"/>
  <cols>
    <col min="1" max="1" width="30" customWidth="1"/>
    <col min="2" max="2" width="25" customWidth="1"/>
    <col min="3" max="3" width="15" customWidth="1"/>
  </cols>
  <sheetData>
    <row r="1" spans="1:3" ht="30" customHeight="1" x14ac:dyDescent="0.35">
      <c r="A1" s="11" t="s">
        <v>0</v>
      </c>
      <c r="B1" s="12"/>
      <c r="C1" s="12"/>
    </row>
    <row r="3" spans="1:3" x14ac:dyDescent="0.35">
      <c r="A3" s="1" t="s">
        <v>1</v>
      </c>
      <c r="B3" s="1" t="s">
        <v>2</v>
      </c>
      <c r="C3" s="1" t="s">
        <v>3</v>
      </c>
    </row>
    <row r="4" spans="1:3" x14ac:dyDescent="0.35">
      <c r="A4" s="2" t="s">
        <v>4</v>
      </c>
      <c r="B4" s="3">
        <v>1170660</v>
      </c>
      <c r="C4" s="4">
        <v>0.62098994058996781</v>
      </c>
    </row>
    <row r="5" spans="1:3" x14ac:dyDescent="0.35">
      <c r="A5" s="2" t="s">
        <v>5</v>
      </c>
      <c r="B5" s="3">
        <v>225000</v>
      </c>
      <c r="C5" s="4">
        <v>0.1193538146282804</v>
      </c>
    </row>
    <row r="6" spans="1:3" x14ac:dyDescent="0.35">
      <c r="A6" s="2" t="s">
        <v>6</v>
      </c>
      <c r="B6" s="3">
        <v>206116.31</v>
      </c>
      <c r="C6" s="4">
        <v>0.1093367460249119</v>
      </c>
    </row>
    <row r="7" spans="1:3" x14ac:dyDescent="0.35">
      <c r="A7" s="2" t="s">
        <v>7</v>
      </c>
      <c r="B7" s="3">
        <v>195375</v>
      </c>
      <c r="C7" s="4">
        <v>0.1036388957022235</v>
      </c>
    </row>
    <row r="8" spans="1:3" x14ac:dyDescent="0.35">
      <c r="A8" s="2" t="s">
        <v>8</v>
      </c>
      <c r="B8" s="3">
        <v>48000</v>
      </c>
      <c r="C8" s="4">
        <v>2.5462147120699819E-2</v>
      </c>
    </row>
    <row r="9" spans="1:3" x14ac:dyDescent="0.35">
      <c r="A9" s="2" t="s">
        <v>9</v>
      </c>
      <c r="B9" s="3">
        <v>22000</v>
      </c>
      <c r="C9" s="4">
        <v>1.167015076365409E-2</v>
      </c>
    </row>
    <row r="10" spans="1:3" x14ac:dyDescent="0.35">
      <c r="A10" s="2" t="s">
        <v>10</v>
      </c>
      <c r="B10" s="3">
        <v>18000</v>
      </c>
      <c r="C10" s="4">
        <v>9.5483051702624326E-3</v>
      </c>
    </row>
    <row r="11" spans="1:3" x14ac:dyDescent="0.35">
      <c r="A11" s="5" t="s">
        <v>11</v>
      </c>
      <c r="B11" s="5">
        <v>1885151.31</v>
      </c>
      <c r="C11" s="6">
        <v>1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8"/>
  <sheetViews>
    <sheetView workbookViewId="0">
      <selection sqref="A1:E1"/>
    </sheetView>
  </sheetViews>
  <sheetFormatPr baseColWidth="10" defaultColWidth="8.7265625" defaultRowHeight="14.5" x14ac:dyDescent="0.35"/>
  <cols>
    <col min="1" max="1" width="30" customWidth="1"/>
    <col min="2" max="4" width="20" customWidth="1"/>
    <col min="5" max="5" width="25" customWidth="1"/>
  </cols>
  <sheetData>
    <row r="1" spans="1:5" ht="30" customHeight="1" x14ac:dyDescent="0.35">
      <c r="A1" s="11" t="s">
        <v>12</v>
      </c>
      <c r="B1" s="12"/>
      <c r="C1" s="12"/>
      <c r="D1" s="12"/>
      <c r="E1" s="12"/>
    </row>
    <row r="3" spans="1:5" ht="19" x14ac:dyDescent="0.35">
      <c r="A3" s="16" t="s">
        <v>13</v>
      </c>
      <c r="B3" s="12"/>
      <c r="C3" s="12"/>
      <c r="D3" s="12"/>
      <c r="E3" s="12"/>
    </row>
    <row r="4" spans="1:5" x14ac:dyDescent="0.35">
      <c r="A4" s="1" t="s">
        <v>14</v>
      </c>
      <c r="B4" s="1" t="s">
        <v>15</v>
      </c>
      <c r="C4" s="1" t="s">
        <v>16</v>
      </c>
      <c r="D4" s="1" t="s">
        <v>17</v>
      </c>
      <c r="E4" s="1" t="s">
        <v>18</v>
      </c>
    </row>
    <row r="5" spans="1:5" x14ac:dyDescent="0.35">
      <c r="A5" s="7" t="s">
        <v>19</v>
      </c>
      <c r="B5" s="8">
        <v>0</v>
      </c>
      <c r="C5" s="8">
        <v>0</v>
      </c>
      <c r="D5" s="8">
        <v>0</v>
      </c>
      <c r="E5" s="9">
        <v>0</v>
      </c>
    </row>
    <row r="6" spans="1:5" x14ac:dyDescent="0.35">
      <c r="A6" s="7" t="s">
        <v>20</v>
      </c>
      <c r="B6" s="8">
        <v>0</v>
      </c>
      <c r="C6" s="8">
        <v>0</v>
      </c>
      <c r="D6" s="8">
        <v>0</v>
      </c>
      <c r="E6" s="9">
        <v>0</v>
      </c>
    </row>
    <row r="7" spans="1:5" x14ac:dyDescent="0.35">
      <c r="A7" s="7" t="s">
        <v>21</v>
      </c>
      <c r="B7" s="8">
        <v>0</v>
      </c>
      <c r="C7" s="8">
        <v>0</v>
      </c>
      <c r="D7" s="8">
        <v>0</v>
      </c>
      <c r="E7" s="9">
        <v>0</v>
      </c>
    </row>
    <row r="8" spans="1:5" x14ac:dyDescent="0.35">
      <c r="A8" s="7" t="s">
        <v>22</v>
      </c>
      <c r="B8" s="8">
        <v>0</v>
      </c>
      <c r="C8" s="8">
        <v>0</v>
      </c>
      <c r="D8" s="8">
        <v>0</v>
      </c>
      <c r="E8" s="9">
        <v>0</v>
      </c>
    </row>
    <row r="9" spans="1:5" x14ac:dyDescent="0.35">
      <c r="A9" s="7" t="s">
        <v>23</v>
      </c>
      <c r="B9" s="8">
        <v>0</v>
      </c>
      <c r="C9" s="8">
        <v>0</v>
      </c>
      <c r="D9" s="8">
        <v>0</v>
      </c>
      <c r="E9" s="9">
        <v>0</v>
      </c>
    </row>
    <row r="10" spans="1:5" x14ac:dyDescent="0.35">
      <c r="A10" s="7" t="s">
        <v>24</v>
      </c>
      <c r="B10" s="8">
        <v>0</v>
      </c>
      <c r="C10" s="8">
        <v>0</v>
      </c>
      <c r="D10" s="8">
        <v>0</v>
      </c>
      <c r="E10" s="9">
        <v>0</v>
      </c>
    </row>
    <row r="11" spans="1:5" x14ac:dyDescent="0.35">
      <c r="A11" s="5" t="s">
        <v>25</v>
      </c>
      <c r="B11" s="5">
        <v>0</v>
      </c>
      <c r="C11" s="5">
        <v>0</v>
      </c>
      <c r="D11" s="5">
        <v>0</v>
      </c>
      <c r="E11" s="5">
        <v>0</v>
      </c>
    </row>
    <row r="13" spans="1:5" ht="19" x14ac:dyDescent="0.35">
      <c r="A13" s="14" t="s">
        <v>26</v>
      </c>
      <c r="B13" s="12"/>
      <c r="C13" s="12"/>
      <c r="D13" s="12"/>
      <c r="E13" s="12"/>
    </row>
    <row r="14" spans="1:5" x14ac:dyDescent="0.35">
      <c r="A14" s="1" t="s">
        <v>14</v>
      </c>
      <c r="B14" s="1" t="s">
        <v>15</v>
      </c>
      <c r="C14" s="1" t="s">
        <v>16</v>
      </c>
      <c r="D14" s="1" t="s">
        <v>17</v>
      </c>
      <c r="E14" s="1" t="s">
        <v>18</v>
      </c>
    </row>
    <row r="15" spans="1:5" x14ac:dyDescent="0.35">
      <c r="A15" s="7" t="s">
        <v>27</v>
      </c>
      <c r="B15" s="8">
        <v>0</v>
      </c>
      <c r="C15" s="8">
        <v>0</v>
      </c>
      <c r="D15" s="8">
        <v>0</v>
      </c>
      <c r="E15" s="9">
        <v>0</v>
      </c>
    </row>
    <row r="16" spans="1:5" x14ac:dyDescent="0.35">
      <c r="A16" s="7" t="s">
        <v>28</v>
      </c>
      <c r="B16" s="8">
        <v>0</v>
      </c>
      <c r="C16" s="8">
        <v>0</v>
      </c>
      <c r="D16" s="8">
        <v>0</v>
      </c>
      <c r="E16" s="9">
        <v>0</v>
      </c>
    </row>
    <row r="17" spans="1:5" x14ac:dyDescent="0.35">
      <c r="A17" s="7" t="s">
        <v>29</v>
      </c>
      <c r="B17" s="8">
        <v>0</v>
      </c>
      <c r="C17" s="8">
        <v>0</v>
      </c>
      <c r="D17" s="8">
        <v>0</v>
      </c>
      <c r="E17" s="9">
        <v>0</v>
      </c>
    </row>
    <row r="18" spans="1:5" x14ac:dyDescent="0.35">
      <c r="A18" s="7" t="s">
        <v>30</v>
      </c>
      <c r="B18" s="8">
        <v>0</v>
      </c>
      <c r="C18" s="8">
        <v>0</v>
      </c>
      <c r="D18" s="8">
        <v>0</v>
      </c>
      <c r="E18" s="9">
        <v>0</v>
      </c>
    </row>
    <row r="19" spans="1:5" x14ac:dyDescent="0.35">
      <c r="A19" s="5" t="s">
        <v>31</v>
      </c>
      <c r="B19" s="5">
        <v>0</v>
      </c>
      <c r="C19" s="5">
        <v>0</v>
      </c>
      <c r="D19" s="5">
        <v>0</v>
      </c>
      <c r="E19" s="5">
        <v>0</v>
      </c>
    </row>
    <row r="21" spans="1:5" ht="19" x14ac:dyDescent="0.35">
      <c r="A21" s="13" t="s">
        <v>32</v>
      </c>
      <c r="B21" s="12"/>
      <c r="C21" s="12"/>
      <c r="D21" s="12"/>
      <c r="E21" s="12"/>
    </row>
    <row r="22" spans="1:5" x14ac:dyDescent="0.35">
      <c r="A22" s="1" t="s">
        <v>14</v>
      </c>
      <c r="B22" s="1" t="s">
        <v>15</v>
      </c>
      <c r="C22" s="1" t="s">
        <v>16</v>
      </c>
      <c r="D22" s="1" t="s">
        <v>17</v>
      </c>
      <c r="E22" s="1" t="s">
        <v>18</v>
      </c>
    </row>
    <row r="23" spans="1:5" x14ac:dyDescent="0.35">
      <c r="A23" s="7" t="s">
        <v>33</v>
      </c>
      <c r="B23" s="8">
        <v>0</v>
      </c>
      <c r="C23" s="8">
        <v>0</v>
      </c>
      <c r="D23" s="8">
        <v>0</v>
      </c>
      <c r="E23" s="9">
        <v>0</v>
      </c>
    </row>
    <row r="24" spans="1:5" x14ac:dyDescent="0.35">
      <c r="A24" s="7" t="s">
        <v>34</v>
      </c>
      <c r="B24" s="8">
        <v>0</v>
      </c>
      <c r="C24" s="8">
        <v>0</v>
      </c>
      <c r="D24" s="8">
        <v>0</v>
      </c>
      <c r="E24" s="9">
        <v>0</v>
      </c>
    </row>
    <row r="25" spans="1:5" x14ac:dyDescent="0.35">
      <c r="A25" s="7" t="s">
        <v>35</v>
      </c>
      <c r="B25" s="8">
        <v>0</v>
      </c>
      <c r="C25" s="8">
        <v>0</v>
      </c>
      <c r="D25" s="8">
        <v>0</v>
      </c>
      <c r="E25" s="9">
        <v>0</v>
      </c>
    </row>
    <row r="26" spans="1:5" x14ac:dyDescent="0.35">
      <c r="A26" s="5" t="s">
        <v>36</v>
      </c>
      <c r="B26" s="5">
        <v>0</v>
      </c>
      <c r="C26" s="5">
        <v>0</v>
      </c>
      <c r="D26" s="5">
        <v>0</v>
      </c>
      <c r="E26" s="5">
        <v>0</v>
      </c>
    </row>
    <row r="28" spans="1:5" ht="19" x14ac:dyDescent="0.4">
      <c r="A28" s="15" t="s">
        <v>37</v>
      </c>
      <c r="B28" s="12"/>
      <c r="C28" s="12"/>
      <c r="D28" s="12"/>
      <c r="E28" s="10">
        <v>0</v>
      </c>
    </row>
  </sheetData>
  <mergeCells count="5">
    <mergeCell ref="A21:E21"/>
    <mergeCell ref="A1:E1"/>
    <mergeCell ref="A13:E13"/>
    <mergeCell ref="A28:D28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05A1A-7662-4D25-B778-07DB705F48DE}">
  <dimension ref="A1:AU36"/>
  <sheetViews>
    <sheetView tabSelected="1" topLeftCell="A20" zoomScale="110" zoomScaleNormal="110" workbookViewId="0">
      <selection activeCell="N28" sqref="N28"/>
    </sheetView>
  </sheetViews>
  <sheetFormatPr baseColWidth="10" defaultColWidth="3.6328125" defaultRowHeight="14.5" x14ac:dyDescent="0.35"/>
  <cols>
    <col min="1" max="39" width="2.6328125" style="17" customWidth="1"/>
    <col min="40" max="42" width="2.1796875" style="17" customWidth="1"/>
    <col min="43" max="16384" width="3.6328125" style="17"/>
  </cols>
  <sheetData>
    <row r="1" spans="2:43" ht="15" thickBot="1" x14ac:dyDescent="0.4">
      <c r="B1" s="22" t="s">
        <v>43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4"/>
    </row>
    <row r="2" spans="2:43" ht="15" thickBot="1" x14ac:dyDescent="0.4">
      <c r="B2" s="22" t="s">
        <v>38</v>
      </c>
      <c r="C2" s="23"/>
      <c r="D2" s="23"/>
      <c r="E2" s="23"/>
      <c r="F2" s="23"/>
      <c r="G2" s="23"/>
      <c r="H2" s="24"/>
      <c r="I2" s="22" t="s">
        <v>39</v>
      </c>
      <c r="J2" s="23"/>
      <c r="K2" s="23"/>
      <c r="L2" s="23"/>
      <c r="M2" s="23"/>
      <c r="N2" s="23"/>
      <c r="O2" s="24"/>
      <c r="P2" s="22" t="s">
        <v>40</v>
      </c>
      <c r="Q2" s="23"/>
      <c r="R2" s="23"/>
      <c r="S2" s="23"/>
      <c r="T2" s="23"/>
      <c r="U2" s="23"/>
      <c r="V2" s="24"/>
      <c r="W2" s="22" t="s">
        <v>41</v>
      </c>
      <c r="X2" s="23"/>
      <c r="Y2" s="23"/>
      <c r="Z2" s="23"/>
      <c r="AA2" s="23"/>
      <c r="AB2" s="23"/>
      <c r="AC2" s="24"/>
      <c r="AD2" s="22" t="s">
        <v>42</v>
      </c>
      <c r="AE2" s="23"/>
      <c r="AF2" s="23"/>
      <c r="AG2" s="23"/>
      <c r="AH2" s="23"/>
      <c r="AI2" s="23"/>
      <c r="AJ2" s="24"/>
    </row>
    <row r="3" spans="2:43" ht="15" thickBot="1" x14ac:dyDescent="0.4">
      <c r="B3" s="18"/>
      <c r="C3" s="20">
        <v>1</v>
      </c>
      <c r="D3" s="20">
        <v>2</v>
      </c>
      <c r="E3" s="20">
        <v>3</v>
      </c>
      <c r="F3" s="20">
        <v>4</v>
      </c>
      <c r="G3" s="20">
        <v>5</v>
      </c>
      <c r="H3" s="20">
        <v>6</v>
      </c>
      <c r="I3" s="20">
        <v>7</v>
      </c>
      <c r="J3" s="20">
        <v>8</v>
      </c>
      <c r="K3" s="25">
        <v>9</v>
      </c>
      <c r="L3" s="29">
        <v>10</v>
      </c>
      <c r="M3" s="20">
        <v>11</v>
      </c>
      <c r="N3" s="25">
        <v>12</v>
      </c>
      <c r="O3" s="28">
        <v>13</v>
      </c>
      <c r="P3" s="20">
        <v>14</v>
      </c>
      <c r="Q3" s="20">
        <v>15</v>
      </c>
      <c r="R3" s="26">
        <v>16</v>
      </c>
      <c r="S3" s="20">
        <v>17</v>
      </c>
      <c r="T3" s="20">
        <v>18</v>
      </c>
      <c r="U3" s="27">
        <v>19</v>
      </c>
      <c r="V3" s="20">
        <v>20</v>
      </c>
      <c r="W3" s="20">
        <v>21</v>
      </c>
      <c r="X3" s="26">
        <v>22</v>
      </c>
      <c r="Y3" s="20">
        <v>23</v>
      </c>
      <c r="Z3" s="20">
        <v>24</v>
      </c>
      <c r="AA3" s="27">
        <v>25</v>
      </c>
      <c r="AB3" s="25">
        <v>26</v>
      </c>
      <c r="AC3" s="20">
        <v>27</v>
      </c>
      <c r="AD3" s="29">
        <v>28</v>
      </c>
      <c r="AE3" s="25">
        <v>29</v>
      </c>
      <c r="AF3" s="25">
        <v>30</v>
      </c>
      <c r="AG3" s="27">
        <v>31</v>
      </c>
      <c r="AH3" s="20"/>
      <c r="AI3" s="20"/>
      <c r="AJ3" s="20"/>
    </row>
    <row r="4" spans="2:43" s="47" customFormat="1" ht="15" thickBot="1" x14ac:dyDescent="0.4"/>
    <row r="5" spans="2:43" ht="15" thickBot="1" x14ac:dyDescent="0.4">
      <c r="B5" s="30" t="s">
        <v>44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2"/>
    </row>
    <row r="6" spans="2:43" ht="15" thickBot="1" x14ac:dyDescent="0.4">
      <c r="B6" s="30" t="s">
        <v>38</v>
      </c>
      <c r="C6" s="31"/>
      <c r="D6" s="31"/>
      <c r="E6" s="31"/>
      <c r="F6" s="31"/>
      <c r="G6" s="31"/>
      <c r="H6" s="33"/>
      <c r="I6" s="30" t="s">
        <v>39</v>
      </c>
      <c r="J6" s="31"/>
      <c r="K6" s="31"/>
      <c r="L6" s="31"/>
      <c r="M6" s="31"/>
      <c r="N6" s="31"/>
      <c r="O6" s="32"/>
      <c r="P6" s="34" t="s">
        <v>40</v>
      </c>
      <c r="Q6" s="31"/>
      <c r="R6" s="31"/>
      <c r="S6" s="31"/>
      <c r="T6" s="31"/>
      <c r="U6" s="31"/>
      <c r="V6" s="33"/>
      <c r="W6" s="30" t="s">
        <v>41</v>
      </c>
      <c r="X6" s="31"/>
      <c r="Y6" s="31"/>
      <c r="Z6" s="31"/>
      <c r="AA6" s="31"/>
      <c r="AB6" s="31"/>
      <c r="AC6" s="32"/>
      <c r="AD6" s="34" t="s">
        <v>42</v>
      </c>
      <c r="AE6" s="31"/>
      <c r="AF6" s="31"/>
      <c r="AG6" s="31"/>
      <c r="AH6" s="31"/>
      <c r="AI6" s="31"/>
      <c r="AJ6" s="32"/>
    </row>
    <row r="7" spans="2:43" ht="15" thickBot="1" x14ac:dyDescent="0.4">
      <c r="B7" s="35"/>
      <c r="C7" s="25"/>
      <c r="D7" s="25"/>
      <c r="E7" s="25"/>
      <c r="F7" s="25">
        <v>1</v>
      </c>
      <c r="G7" s="37">
        <v>2</v>
      </c>
      <c r="H7" s="36">
        <v>3</v>
      </c>
      <c r="I7" s="39">
        <v>4</v>
      </c>
      <c r="J7" s="25">
        <v>5</v>
      </c>
      <c r="K7" s="37">
        <v>6</v>
      </c>
      <c r="L7" s="25">
        <v>7</v>
      </c>
      <c r="M7" s="40">
        <v>8</v>
      </c>
      <c r="N7" s="25">
        <v>9</v>
      </c>
      <c r="O7" s="37">
        <v>10</v>
      </c>
      <c r="P7" s="25">
        <v>11</v>
      </c>
      <c r="Q7" s="40">
        <v>12</v>
      </c>
      <c r="R7" s="25">
        <v>13</v>
      </c>
      <c r="S7" s="37">
        <v>14</v>
      </c>
      <c r="T7" s="25">
        <v>15</v>
      </c>
      <c r="U7" s="40">
        <v>16</v>
      </c>
      <c r="V7" s="36">
        <v>17</v>
      </c>
      <c r="W7" s="38">
        <v>18</v>
      </c>
      <c r="X7" s="25">
        <v>19</v>
      </c>
      <c r="Y7" s="25">
        <v>20</v>
      </c>
      <c r="Z7" s="42">
        <v>21</v>
      </c>
      <c r="AA7" s="25">
        <v>22</v>
      </c>
      <c r="AB7" s="41">
        <v>23</v>
      </c>
      <c r="AC7" s="25">
        <v>24</v>
      </c>
      <c r="AD7" s="42">
        <v>25</v>
      </c>
      <c r="AE7" s="25">
        <v>26</v>
      </c>
      <c r="AF7" s="41">
        <v>27</v>
      </c>
      <c r="AG7" s="25">
        <v>28</v>
      </c>
      <c r="AH7" s="42">
        <v>29</v>
      </c>
      <c r="AI7" s="25">
        <v>30</v>
      </c>
      <c r="AJ7" s="25"/>
    </row>
    <row r="8" spans="2:43" s="47" customFormat="1" ht="15" thickBot="1" x14ac:dyDescent="0.4"/>
    <row r="9" spans="2:43" ht="15" thickBot="1" x14ac:dyDescent="0.4">
      <c r="B9" s="48" t="s">
        <v>45</v>
      </c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50"/>
    </row>
    <row r="10" spans="2:43" ht="15" thickBot="1" x14ac:dyDescent="0.4">
      <c r="B10" s="51" t="s">
        <v>38</v>
      </c>
      <c r="C10" s="52"/>
      <c r="D10" s="52"/>
      <c r="E10" s="52"/>
      <c r="F10" s="52"/>
      <c r="G10" s="52"/>
      <c r="H10" s="53"/>
      <c r="I10" s="51" t="s">
        <v>39</v>
      </c>
      <c r="J10" s="52"/>
      <c r="K10" s="52"/>
      <c r="L10" s="52"/>
      <c r="M10" s="52"/>
      <c r="N10" s="52"/>
      <c r="O10" s="53"/>
      <c r="P10" s="54" t="s">
        <v>40</v>
      </c>
      <c r="Q10" s="52"/>
      <c r="R10" s="52"/>
      <c r="S10" s="52"/>
      <c r="T10" s="52"/>
      <c r="U10" s="52"/>
      <c r="V10" s="55"/>
      <c r="W10" s="51" t="s">
        <v>41</v>
      </c>
      <c r="X10" s="52"/>
      <c r="Y10" s="52"/>
      <c r="Z10" s="52"/>
      <c r="AA10" s="52"/>
      <c r="AB10" s="52"/>
      <c r="AC10" s="53"/>
      <c r="AD10" s="51" t="s">
        <v>42</v>
      </c>
      <c r="AE10" s="52"/>
      <c r="AF10" s="52"/>
      <c r="AG10" s="52"/>
      <c r="AH10" s="52"/>
      <c r="AI10" s="52"/>
      <c r="AJ10" s="53"/>
      <c r="AK10" s="51" t="s">
        <v>46</v>
      </c>
      <c r="AL10" s="52"/>
      <c r="AM10" s="52"/>
      <c r="AN10" s="52"/>
      <c r="AO10" s="52"/>
      <c r="AP10" s="52"/>
      <c r="AQ10" s="53"/>
    </row>
    <row r="11" spans="2:43" s="47" customFormat="1" ht="15" thickBot="1" x14ac:dyDescent="0.4">
      <c r="B11" s="56"/>
      <c r="C11" s="57"/>
      <c r="D11" s="57"/>
      <c r="E11" s="57"/>
      <c r="F11" s="57"/>
      <c r="G11" s="57"/>
      <c r="H11" s="58">
        <v>1</v>
      </c>
      <c r="I11" s="56">
        <v>2</v>
      </c>
      <c r="J11" s="57">
        <v>3</v>
      </c>
      <c r="K11" s="57">
        <v>4</v>
      </c>
      <c r="L11" s="57">
        <v>5</v>
      </c>
      <c r="M11" s="57">
        <v>6</v>
      </c>
      <c r="N11" s="57">
        <v>7</v>
      </c>
      <c r="O11" s="59">
        <v>8</v>
      </c>
      <c r="P11" s="60">
        <v>9</v>
      </c>
      <c r="Q11" s="57">
        <v>10</v>
      </c>
      <c r="R11" s="57">
        <v>11</v>
      </c>
      <c r="S11" s="57">
        <v>12</v>
      </c>
      <c r="T11" s="57">
        <v>13</v>
      </c>
      <c r="U11" s="57">
        <v>14</v>
      </c>
      <c r="V11" s="61">
        <v>15</v>
      </c>
      <c r="W11" s="56">
        <v>16</v>
      </c>
      <c r="X11" s="57">
        <v>17</v>
      </c>
      <c r="Y11" s="57">
        <v>18</v>
      </c>
      <c r="Z11" s="57">
        <v>19</v>
      </c>
      <c r="AA11" s="57">
        <v>20</v>
      </c>
      <c r="AB11" s="57">
        <v>21</v>
      </c>
      <c r="AC11" s="59">
        <v>22</v>
      </c>
      <c r="AD11" s="56">
        <v>23</v>
      </c>
      <c r="AE11" s="57">
        <v>24</v>
      </c>
      <c r="AF11" s="57">
        <v>25</v>
      </c>
      <c r="AG11" s="57">
        <v>26</v>
      </c>
      <c r="AH11" s="57">
        <v>27</v>
      </c>
      <c r="AI11" s="57">
        <v>28</v>
      </c>
      <c r="AJ11" s="59">
        <v>29</v>
      </c>
      <c r="AK11" s="56">
        <v>30</v>
      </c>
      <c r="AL11" s="57">
        <v>31</v>
      </c>
      <c r="AM11" s="57"/>
      <c r="AN11" s="57"/>
      <c r="AO11" s="57"/>
      <c r="AP11" s="57"/>
      <c r="AQ11" s="59"/>
    </row>
    <row r="12" spans="2:43" ht="15" thickBot="1" x14ac:dyDescent="0.4">
      <c r="AJ12" s="62"/>
      <c r="AK12" s="62"/>
      <c r="AL12" s="62"/>
      <c r="AM12" s="62"/>
      <c r="AN12" s="62"/>
      <c r="AO12" s="62"/>
      <c r="AP12" s="62"/>
    </row>
    <row r="13" spans="2:43" ht="15" thickBot="1" x14ac:dyDescent="0.4">
      <c r="B13" s="63" t="s">
        <v>47</v>
      </c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5"/>
    </row>
    <row r="14" spans="2:43" ht="15" thickBot="1" x14ac:dyDescent="0.4">
      <c r="B14" s="63" t="s">
        <v>38</v>
      </c>
      <c r="C14" s="64"/>
      <c r="D14" s="64"/>
      <c r="E14" s="64"/>
      <c r="F14" s="64"/>
      <c r="G14" s="64"/>
      <c r="H14" s="65"/>
      <c r="I14" s="63" t="s">
        <v>39</v>
      </c>
      <c r="J14" s="64"/>
      <c r="K14" s="64"/>
      <c r="L14" s="64"/>
      <c r="M14" s="64"/>
      <c r="N14" s="64"/>
      <c r="O14" s="65"/>
      <c r="P14" s="63" t="s">
        <v>40</v>
      </c>
      <c r="Q14" s="64"/>
      <c r="R14" s="64"/>
      <c r="S14" s="64"/>
      <c r="T14" s="64"/>
      <c r="U14" s="64"/>
      <c r="V14" s="65"/>
      <c r="W14" s="63" t="s">
        <v>41</v>
      </c>
      <c r="X14" s="64"/>
      <c r="Y14" s="64"/>
      <c r="Z14" s="64"/>
      <c r="AA14" s="64"/>
      <c r="AB14" s="64"/>
      <c r="AC14" s="65"/>
      <c r="AD14" s="63" t="s">
        <v>42</v>
      </c>
      <c r="AE14" s="64"/>
      <c r="AF14" s="64"/>
      <c r="AG14" s="64"/>
      <c r="AH14" s="64"/>
      <c r="AI14" s="64"/>
      <c r="AJ14" s="65"/>
    </row>
    <row r="15" spans="2:43" ht="15" thickBot="1" x14ac:dyDescent="0.4">
      <c r="B15" s="56"/>
      <c r="C15" s="57"/>
      <c r="D15" s="57">
        <v>1</v>
      </c>
      <c r="E15" s="57">
        <v>2</v>
      </c>
      <c r="F15" s="57">
        <v>3</v>
      </c>
      <c r="G15" s="57">
        <v>4</v>
      </c>
      <c r="H15" s="61">
        <v>5</v>
      </c>
      <c r="I15" s="56">
        <v>6</v>
      </c>
      <c r="J15" s="57">
        <v>7</v>
      </c>
      <c r="K15" s="57">
        <v>8</v>
      </c>
      <c r="L15" s="57">
        <v>9</v>
      </c>
      <c r="M15" s="57">
        <v>10</v>
      </c>
      <c r="N15" s="57">
        <v>11</v>
      </c>
      <c r="O15" s="59">
        <v>12</v>
      </c>
      <c r="P15" s="60">
        <v>13</v>
      </c>
      <c r="Q15" s="57">
        <v>14</v>
      </c>
      <c r="R15" s="57">
        <v>15</v>
      </c>
      <c r="S15" s="57">
        <v>16</v>
      </c>
      <c r="T15" s="57">
        <v>17</v>
      </c>
      <c r="U15" s="57">
        <v>18</v>
      </c>
      <c r="V15" s="61">
        <v>19</v>
      </c>
      <c r="W15" s="56">
        <v>20</v>
      </c>
      <c r="X15" s="57">
        <v>21</v>
      </c>
      <c r="Y15" s="57">
        <v>22</v>
      </c>
      <c r="Z15" s="57">
        <v>23</v>
      </c>
      <c r="AA15" s="57">
        <v>24</v>
      </c>
      <c r="AB15" s="57">
        <v>25</v>
      </c>
      <c r="AC15" s="59">
        <v>26</v>
      </c>
      <c r="AD15" s="60">
        <v>27</v>
      </c>
      <c r="AE15" s="57">
        <v>28</v>
      </c>
      <c r="AF15" s="57">
        <v>29</v>
      </c>
      <c r="AG15" s="57">
        <v>30</v>
      </c>
      <c r="AH15" s="57"/>
      <c r="AI15" s="57"/>
      <c r="AJ15" s="59"/>
    </row>
    <row r="19" spans="1:47" x14ac:dyDescent="0.35">
      <c r="B19" s="77" t="s">
        <v>50</v>
      </c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44"/>
      <c r="P19" s="44"/>
      <c r="Q19" s="77" t="s">
        <v>52</v>
      </c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77"/>
      <c r="AF19" s="77" t="s">
        <v>52</v>
      </c>
      <c r="AG19" s="77"/>
      <c r="AH19" s="77"/>
      <c r="AI19" s="77"/>
      <c r="AJ19" s="77"/>
      <c r="AK19" s="77"/>
      <c r="AL19" s="77"/>
      <c r="AM19" s="77"/>
      <c r="AN19" s="77"/>
      <c r="AO19" s="77"/>
      <c r="AP19" s="77"/>
      <c r="AQ19" s="77"/>
      <c r="AR19" s="77"/>
      <c r="AS19" s="77"/>
    </row>
    <row r="20" spans="1:47" x14ac:dyDescent="0.35">
      <c r="A20" s="80"/>
      <c r="B20" s="79" t="s">
        <v>51</v>
      </c>
      <c r="C20" s="79"/>
      <c r="D20" s="79"/>
      <c r="E20" s="79"/>
      <c r="F20" s="79"/>
      <c r="G20" s="79"/>
      <c r="H20" s="81"/>
      <c r="I20" s="78" t="s">
        <v>51</v>
      </c>
      <c r="J20" s="78"/>
      <c r="K20" s="78"/>
      <c r="L20" s="78"/>
      <c r="M20" s="78"/>
      <c r="N20" s="78"/>
      <c r="O20" s="78"/>
      <c r="P20" s="78"/>
      <c r="Q20" s="80"/>
      <c r="R20" s="79" t="s">
        <v>51</v>
      </c>
      <c r="S20" s="79"/>
      <c r="T20" s="79"/>
      <c r="U20" s="79"/>
      <c r="V20" s="79"/>
      <c r="W20" s="79"/>
      <c r="X20" s="81"/>
      <c r="Y20" s="78" t="s">
        <v>51</v>
      </c>
      <c r="Z20" s="78"/>
      <c r="AA20" s="78"/>
      <c r="AB20" s="78"/>
      <c r="AC20" s="78"/>
      <c r="AD20" s="78"/>
      <c r="AE20" s="78"/>
      <c r="AF20" s="80"/>
      <c r="AG20" s="79" t="s">
        <v>51</v>
      </c>
      <c r="AH20" s="79"/>
      <c r="AI20" s="79"/>
      <c r="AJ20" s="79"/>
      <c r="AK20" s="79"/>
      <c r="AL20" s="79"/>
      <c r="AM20" s="81"/>
      <c r="AN20" s="78" t="s">
        <v>51</v>
      </c>
      <c r="AO20" s="78"/>
      <c r="AP20" s="78"/>
      <c r="AQ20" s="78"/>
      <c r="AR20" s="78"/>
      <c r="AS20" s="78"/>
    </row>
    <row r="21" spans="1:47" x14ac:dyDescent="0.35">
      <c r="A21" s="76"/>
      <c r="B21" s="43" t="s">
        <v>48</v>
      </c>
      <c r="Q21" s="75"/>
      <c r="R21" s="43" t="s">
        <v>49</v>
      </c>
      <c r="Y21" s="43"/>
    </row>
    <row r="22" spans="1:47" x14ac:dyDescent="0.35">
      <c r="A22" s="75"/>
      <c r="B22" s="43" t="s">
        <v>49</v>
      </c>
      <c r="Y22" s="43"/>
    </row>
    <row r="23" spans="1:47" ht="15" thickBot="1" x14ac:dyDescent="0.4">
      <c r="AO23" s="45"/>
      <c r="AP23" s="45"/>
      <c r="AQ23" s="45"/>
      <c r="AR23" s="45"/>
      <c r="AS23" s="45"/>
      <c r="AT23" s="45"/>
      <c r="AU23" s="45"/>
    </row>
    <row r="24" spans="1:47" ht="15" thickBot="1" x14ac:dyDescent="0.4">
      <c r="D24" s="22" t="s">
        <v>43</v>
      </c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4"/>
      <c r="AO24" s="46"/>
      <c r="AP24" s="46"/>
      <c r="AQ24" s="46"/>
      <c r="AR24" s="46"/>
      <c r="AS24" s="46"/>
      <c r="AT24" s="46"/>
      <c r="AU24" s="46"/>
    </row>
    <row r="25" spans="1:47" ht="15" thickBot="1" x14ac:dyDescent="0.4">
      <c r="D25" s="22" t="s">
        <v>38</v>
      </c>
      <c r="E25" s="23"/>
      <c r="F25" s="23"/>
      <c r="G25" s="23"/>
      <c r="H25" s="23"/>
      <c r="I25" s="23"/>
      <c r="J25" s="24"/>
      <c r="K25" s="22" t="s">
        <v>39</v>
      </c>
      <c r="L25" s="23"/>
      <c r="M25" s="23"/>
      <c r="N25" s="23"/>
      <c r="O25" s="23"/>
      <c r="P25" s="23"/>
      <c r="Q25" s="24"/>
      <c r="R25" s="22" t="s">
        <v>40</v>
      </c>
      <c r="S25" s="23"/>
      <c r="T25" s="23"/>
      <c r="U25" s="23"/>
      <c r="V25" s="23"/>
      <c r="W25" s="23"/>
      <c r="X25" s="24"/>
      <c r="Y25" s="22" t="s">
        <v>41</v>
      </c>
      <c r="Z25" s="23"/>
      <c r="AA25" s="23"/>
      <c r="AB25" s="23"/>
      <c r="AC25" s="23"/>
      <c r="AD25" s="23"/>
      <c r="AE25" s="24"/>
      <c r="AF25" s="22" t="s">
        <v>42</v>
      </c>
      <c r="AG25" s="23"/>
      <c r="AH25" s="23"/>
      <c r="AI25" s="23"/>
      <c r="AJ25" s="23"/>
      <c r="AK25" s="23"/>
      <c r="AL25" s="24"/>
      <c r="AO25" s="46"/>
      <c r="AP25" s="46"/>
      <c r="AQ25" s="46"/>
      <c r="AR25" s="46"/>
      <c r="AS25" s="46"/>
      <c r="AT25" s="46"/>
      <c r="AU25" s="46"/>
    </row>
    <row r="26" spans="1:47" ht="15" thickBot="1" x14ac:dyDescent="0.4">
      <c r="D26" s="18"/>
      <c r="E26" s="20">
        <v>1</v>
      </c>
      <c r="F26" s="20">
        <v>2</v>
      </c>
      <c r="G26" s="20">
        <v>3</v>
      </c>
      <c r="H26" s="20">
        <v>4</v>
      </c>
      <c r="I26" s="20">
        <v>5</v>
      </c>
      <c r="J26" s="20">
        <v>6</v>
      </c>
      <c r="K26" s="20">
        <v>7</v>
      </c>
      <c r="L26" s="20">
        <v>8</v>
      </c>
      <c r="M26" s="25">
        <v>9</v>
      </c>
      <c r="N26" s="29">
        <v>10</v>
      </c>
      <c r="O26" s="20">
        <v>11</v>
      </c>
      <c r="P26" s="25">
        <v>12</v>
      </c>
      <c r="Q26" s="28">
        <v>13</v>
      </c>
      <c r="R26" s="20">
        <v>14</v>
      </c>
      <c r="S26" s="20">
        <v>15</v>
      </c>
      <c r="T26" s="26">
        <v>16</v>
      </c>
      <c r="U26" s="20">
        <v>17</v>
      </c>
      <c r="V26" s="20">
        <v>18</v>
      </c>
      <c r="W26" s="27">
        <v>19</v>
      </c>
      <c r="X26" s="20">
        <v>20</v>
      </c>
      <c r="Y26" s="20">
        <v>21</v>
      </c>
      <c r="Z26" s="26">
        <v>22</v>
      </c>
      <c r="AA26" s="20">
        <v>23</v>
      </c>
      <c r="AB26" s="20">
        <v>24</v>
      </c>
      <c r="AC26" s="27">
        <v>25</v>
      </c>
      <c r="AD26" s="25">
        <v>26</v>
      </c>
      <c r="AE26" s="20">
        <v>27</v>
      </c>
      <c r="AF26" s="29">
        <v>28</v>
      </c>
      <c r="AG26" s="25">
        <v>29</v>
      </c>
      <c r="AH26" s="25">
        <v>30</v>
      </c>
      <c r="AI26" s="27">
        <v>31</v>
      </c>
      <c r="AJ26" s="20"/>
      <c r="AK26" s="20"/>
      <c r="AL26" s="20"/>
      <c r="AO26" s="46"/>
      <c r="AP26" s="46"/>
      <c r="AQ26" s="46"/>
      <c r="AR26" s="46"/>
      <c r="AS26" s="46"/>
      <c r="AT26" s="46"/>
      <c r="AU26" s="46"/>
    </row>
    <row r="27" spans="1:47" x14ac:dyDescent="0.35">
      <c r="A27" s="82" t="s">
        <v>54</v>
      </c>
      <c r="B27" s="83"/>
      <c r="C27" s="83"/>
      <c r="D27" s="66"/>
      <c r="E27" s="67"/>
      <c r="F27" s="67"/>
      <c r="G27" s="67"/>
      <c r="H27" s="67"/>
      <c r="I27" s="67"/>
      <c r="J27" s="68"/>
      <c r="K27" s="66"/>
      <c r="L27" s="67"/>
      <c r="M27" s="67"/>
      <c r="N27" s="69">
        <v>0.20833333333333334</v>
      </c>
      <c r="O27" s="67"/>
      <c r="P27" s="72"/>
      <c r="Q27" s="69">
        <v>0.20833333333333334</v>
      </c>
      <c r="R27" s="66"/>
      <c r="S27" s="67"/>
      <c r="T27" s="69">
        <v>0.20833333333333334</v>
      </c>
      <c r="U27" s="74"/>
      <c r="V27" s="67"/>
      <c r="W27" s="69">
        <v>0.20833333333333334</v>
      </c>
      <c r="X27" s="68"/>
      <c r="Y27" s="73"/>
      <c r="Z27" s="69">
        <v>0.20833333333333334</v>
      </c>
      <c r="AA27" s="67"/>
      <c r="AB27" s="67"/>
      <c r="AC27" s="69">
        <v>0.20833333333333334</v>
      </c>
      <c r="AD27" s="67"/>
      <c r="AE27" s="68"/>
      <c r="AF27" s="69">
        <v>0.20833333333333334</v>
      </c>
      <c r="AG27" s="67"/>
      <c r="AH27" s="67"/>
      <c r="AI27" s="69">
        <v>0.20833333333333334</v>
      </c>
      <c r="AJ27" s="67"/>
      <c r="AK27" s="67"/>
      <c r="AL27" s="68"/>
    </row>
    <row r="28" spans="1:47" ht="15" thickBot="1" x14ac:dyDescent="0.4">
      <c r="A28" s="84"/>
      <c r="B28" s="85"/>
      <c r="C28" s="85"/>
      <c r="D28" s="70"/>
      <c r="E28" s="21"/>
      <c r="F28" s="21"/>
      <c r="G28" s="21"/>
      <c r="H28" s="21"/>
      <c r="I28" s="21"/>
      <c r="J28" s="19"/>
      <c r="K28" s="70"/>
      <c r="L28" s="21"/>
      <c r="M28" s="21"/>
      <c r="N28" s="71">
        <f>N27+90/1440</f>
        <v>0.27083333333333337</v>
      </c>
      <c r="O28" s="21"/>
      <c r="P28" s="21"/>
      <c r="Q28" s="71">
        <f>Q27+90/1440</f>
        <v>0.27083333333333337</v>
      </c>
      <c r="R28" s="70"/>
      <c r="S28" s="21"/>
      <c r="T28" s="71">
        <f>T27+90/1440</f>
        <v>0.27083333333333337</v>
      </c>
      <c r="U28" s="21"/>
      <c r="V28" s="21"/>
      <c r="W28" s="71">
        <f>W27+90/1440</f>
        <v>0.27083333333333337</v>
      </c>
      <c r="X28" s="19"/>
      <c r="Y28" s="70"/>
      <c r="Z28" s="71">
        <f>Z27+90/1440</f>
        <v>0.27083333333333337</v>
      </c>
      <c r="AA28" s="21"/>
      <c r="AB28" s="21"/>
      <c r="AC28" s="71">
        <f>AC27+90/1440</f>
        <v>0.27083333333333337</v>
      </c>
      <c r="AD28" s="21"/>
      <c r="AE28" s="19"/>
      <c r="AF28" s="71">
        <f>AF27+90/1440</f>
        <v>0.27083333333333337</v>
      </c>
      <c r="AG28" s="21"/>
      <c r="AH28" s="21"/>
      <c r="AI28" s="71">
        <f>AI27+90/1440</f>
        <v>0.27083333333333337</v>
      </c>
      <c r="AJ28" s="21"/>
      <c r="AK28" s="21"/>
      <c r="AL28" s="19"/>
    </row>
    <row r="29" spans="1:47" x14ac:dyDescent="0.35">
      <c r="A29" s="82" t="s">
        <v>53</v>
      </c>
      <c r="B29" s="83"/>
      <c r="C29" s="83"/>
      <c r="D29" s="66"/>
      <c r="E29" s="67"/>
      <c r="F29" s="67"/>
      <c r="G29" s="67"/>
      <c r="H29" s="67"/>
      <c r="I29" s="67"/>
      <c r="J29" s="68"/>
      <c r="K29" s="66"/>
      <c r="L29" s="67"/>
      <c r="M29" s="67"/>
      <c r="N29" s="69">
        <f>N28+10/1440</f>
        <v>0.27777777777777779</v>
      </c>
      <c r="O29" s="67"/>
      <c r="P29" s="72"/>
      <c r="Q29" s="69">
        <f>Q28+10/1440</f>
        <v>0.27777777777777779</v>
      </c>
      <c r="R29" s="66"/>
      <c r="S29" s="67"/>
      <c r="T29" s="69">
        <f>T28+10/1440</f>
        <v>0.27777777777777779</v>
      </c>
      <c r="U29" s="74"/>
      <c r="V29" s="67"/>
      <c r="W29" s="69">
        <f>W28+10/1440</f>
        <v>0.27777777777777779</v>
      </c>
      <c r="X29" s="68"/>
      <c r="Y29" s="73"/>
      <c r="Z29" s="69">
        <f>Z28+10/1440</f>
        <v>0.27777777777777779</v>
      </c>
      <c r="AA29" s="67"/>
      <c r="AB29" s="67"/>
      <c r="AC29" s="69">
        <f>AC28+10/1440</f>
        <v>0.27777777777777779</v>
      </c>
      <c r="AD29" s="67"/>
      <c r="AE29" s="68"/>
      <c r="AF29" s="69">
        <f>AF28+10/1440</f>
        <v>0.27777777777777779</v>
      </c>
      <c r="AG29" s="67"/>
      <c r="AH29" s="67"/>
      <c r="AI29" s="69">
        <f>AI28+10/1440</f>
        <v>0.27777777777777779</v>
      </c>
      <c r="AJ29" s="67"/>
      <c r="AK29" s="67"/>
      <c r="AL29" s="68"/>
    </row>
    <row r="30" spans="1:47" ht="15" thickBot="1" x14ac:dyDescent="0.4">
      <c r="A30" s="84"/>
      <c r="B30" s="85"/>
      <c r="C30" s="85"/>
      <c r="D30" s="70"/>
      <c r="E30" s="21"/>
      <c r="F30" s="21"/>
      <c r="G30" s="21"/>
      <c r="H30" s="21"/>
      <c r="I30" s="21"/>
      <c r="J30" s="19"/>
      <c r="K30" s="70"/>
      <c r="L30" s="21"/>
      <c r="M30" s="21"/>
      <c r="N30" s="71">
        <f>N29+90/1440</f>
        <v>0.34027777777777779</v>
      </c>
      <c r="O30" s="21"/>
      <c r="P30" s="21"/>
      <c r="Q30" s="71">
        <f>Q29+90/1440</f>
        <v>0.34027777777777779</v>
      </c>
      <c r="R30" s="70"/>
      <c r="S30" s="21"/>
      <c r="T30" s="71">
        <f>T29+90/1440</f>
        <v>0.34027777777777779</v>
      </c>
      <c r="U30" s="21"/>
      <c r="V30" s="21"/>
      <c r="W30" s="71">
        <f>W29+90/1440</f>
        <v>0.34027777777777779</v>
      </c>
      <c r="X30" s="19"/>
      <c r="Y30" s="70"/>
      <c r="Z30" s="71">
        <f>Z29+90/1440</f>
        <v>0.34027777777777779</v>
      </c>
      <c r="AA30" s="21"/>
      <c r="AB30" s="21"/>
      <c r="AC30" s="71">
        <f>AC29+90/1440</f>
        <v>0.34027777777777779</v>
      </c>
      <c r="AD30" s="21"/>
      <c r="AE30" s="19"/>
      <c r="AF30" s="71">
        <f>AF29+90/1440</f>
        <v>0.34027777777777779</v>
      </c>
      <c r="AG30" s="21"/>
      <c r="AH30" s="21"/>
      <c r="AI30" s="71">
        <f>AI29+90/1440</f>
        <v>0.34027777777777779</v>
      </c>
      <c r="AJ30" s="21"/>
      <c r="AK30" s="21"/>
      <c r="AL30" s="19"/>
    </row>
    <row r="31" spans="1:47" x14ac:dyDescent="0.35">
      <c r="A31" s="83" t="s">
        <v>55</v>
      </c>
      <c r="B31" s="83"/>
      <c r="C31" s="83"/>
      <c r="D31" s="66"/>
      <c r="E31" s="67"/>
      <c r="F31" s="67"/>
      <c r="G31" s="67"/>
      <c r="H31" s="67"/>
      <c r="I31" s="67"/>
      <c r="J31" s="68"/>
      <c r="K31" s="66"/>
      <c r="L31" s="67"/>
      <c r="M31" s="67"/>
      <c r="N31" s="69">
        <f>N30+10/1440</f>
        <v>0.34722222222222221</v>
      </c>
      <c r="O31" s="67"/>
      <c r="P31" s="67"/>
      <c r="Q31" s="69">
        <f>Q30+10/1440</f>
        <v>0.34722222222222221</v>
      </c>
      <c r="R31" s="66"/>
      <c r="S31" s="67"/>
      <c r="T31" s="69">
        <f>T30+10/1440</f>
        <v>0.34722222222222221</v>
      </c>
      <c r="U31" s="74"/>
      <c r="V31" s="67"/>
      <c r="W31" s="69">
        <f>W30+10/1440</f>
        <v>0.34722222222222221</v>
      </c>
      <c r="X31" s="68"/>
      <c r="Y31" s="66"/>
      <c r="Z31" s="69">
        <f>Z30+10/1440</f>
        <v>0.34722222222222221</v>
      </c>
      <c r="AA31" s="67"/>
      <c r="AB31" s="67"/>
      <c r="AC31" s="69">
        <f>AC30+10/1440</f>
        <v>0.34722222222222221</v>
      </c>
      <c r="AD31" s="67"/>
      <c r="AE31" s="68"/>
      <c r="AF31" s="69">
        <f>AF30+10/1440</f>
        <v>0.34722222222222221</v>
      </c>
      <c r="AG31" s="67"/>
      <c r="AH31" s="67"/>
      <c r="AI31" s="69">
        <f>AI30+10/1440</f>
        <v>0.34722222222222221</v>
      </c>
      <c r="AJ31" s="67"/>
      <c r="AK31" s="67"/>
      <c r="AL31" s="68"/>
    </row>
    <row r="32" spans="1:47" ht="15" thickBot="1" x14ac:dyDescent="0.4">
      <c r="A32" s="85"/>
      <c r="B32" s="85"/>
      <c r="C32" s="85"/>
      <c r="D32" s="70"/>
      <c r="E32" s="21"/>
      <c r="F32" s="21"/>
      <c r="G32" s="21"/>
      <c r="H32" s="21"/>
      <c r="I32" s="21"/>
      <c r="J32" s="19"/>
      <c r="K32" s="70"/>
      <c r="L32" s="21"/>
      <c r="M32" s="21"/>
      <c r="N32" s="71">
        <f>N31+90/1440</f>
        <v>0.40972222222222221</v>
      </c>
      <c r="O32" s="21"/>
      <c r="P32" s="21"/>
      <c r="Q32" s="92">
        <f>Q31+90/1440</f>
        <v>0.40972222222222221</v>
      </c>
      <c r="R32" s="70"/>
      <c r="S32" s="21"/>
      <c r="T32" s="71">
        <f>T31+90/1440</f>
        <v>0.40972222222222221</v>
      </c>
      <c r="U32" s="21"/>
      <c r="V32" s="21"/>
      <c r="W32" s="71">
        <f>W31+90/1440</f>
        <v>0.40972222222222221</v>
      </c>
      <c r="X32" s="19"/>
      <c r="Y32" s="70"/>
      <c r="Z32" s="71">
        <f>Z31+90/1440</f>
        <v>0.40972222222222221</v>
      </c>
      <c r="AA32" s="21"/>
      <c r="AB32" s="21"/>
      <c r="AC32" s="71">
        <f>AC31+90/1440</f>
        <v>0.40972222222222221</v>
      </c>
      <c r="AD32" s="21"/>
      <c r="AE32" s="19"/>
      <c r="AF32" s="93">
        <f>AF31+90/1440</f>
        <v>0.40972222222222221</v>
      </c>
      <c r="AG32" s="21"/>
      <c r="AH32" s="21"/>
      <c r="AI32" s="71">
        <f>AI31+90/1440</f>
        <v>0.40972222222222221</v>
      </c>
      <c r="AJ32" s="21"/>
      <c r="AK32" s="21"/>
      <c r="AL32" s="19"/>
    </row>
    <row r="33" spans="1:38" x14ac:dyDescent="0.35">
      <c r="A33" s="86" t="s">
        <v>56</v>
      </c>
      <c r="B33" s="87"/>
      <c r="C33" s="88"/>
      <c r="D33" s="66"/>
      <c r="E33" s="67"/>
      <c r="F33" s="67"/>
      <c r="G33" s="67"/>
      <c r="H33" s="67"/>
      <c r="I33" s="67"/>
      <c r="J33" s="68"/>
      <c r="K33" s="66"/>
      <c r="L33" s="67"/>
      <c r="M33" s="67"/>
      <c r="N33" s="69"/>
      <c r="O33" s="67"/>
      <c r="P33" s="67"/>
      <c r="Q33" s="69"/>
      <c r="R33" s="66"/>
      <c r="S33" s="67"/>
      <c r="T33" s="69"/>
      <c r="U33" s="67"/>
      <c r="V33" s="67"/>
      <c r="W33" s="69">
        <f>W32+10/1440</f>
        <v>0.41666666666666663</v>
      </c>
      <c r="X33" s="68"/>
      <c r="Y33" s="66"/>
      <c r="Z33" s="69">
        <f>Z32+10/1440</f>
        <v>0.41666666666666663</v>
      </c>
      <c r="AA33" s="67"/>
      <c r="AB33" s="67"/>
      <c r="AC33" s="69">
        <f>AC32+10/1440</f>
        <v>0.41666666666666663</v>
      </c>
      <c r="AD33" s="67"/>
      <c r="AE33" s="68"/>
      <c r="AF33" s="69">
        <f>AF32+10/1440</f>
        <v>0.41666666666666663</v>
      </c>
      <c r="AG33" s="67"/>
      <c r="AH33" s="67"/>
      <c r="AI33" s="69">
        <f>AI32+10/1440</f>
        <v>0.41666666666666663</v>
      </c>
      <c r="AJ33" s="67"/>
      <c r="AK33" s="67"/>
      <c r="AL33" s="68"/>
    </row>
    <row r="34" spans="1:38" ht="15" thickBot="1" x14ac:dyDescent="0.4">
      <c r="A34" s="89"/>
      <c r="B34" s="90"/>
      <c r="C34" s="91"/>
      <c r="D34" s="70"/>
      <c r="E34" s="21"/>
      <c r="F34" s="21"/>
      <c r="G34" s="21"/>
      <c r="H34" s="21"/>
      <c r="I34" s="21"/>
      <c r="J34" s="19"/>
      <c r="K34" s="70"/>
      <c r="L34" s="21"/>
      <c r="M34" s="21"/>
      <c r="N34" s="71"/>
      <c r="O34" s="21"/>
      <c r="P34" s="21"/>
      <c r="Q34" s="71"/>
      <c r="R34" s="70"/>
      <c r="S34" s="21"/>
      <c r="T34" s="71"/>
      <c r="U34" s="21"/>
      <c r="V34" s="21"/>
      <c r="W34" s="71">
        <f>W33+90/1440</f>
        <v>0.47916666666666663</v>
      </c>
      <c r="X34" s="19"/>
      <c r="Y34" s="70"/>
      <c r="Z34" s="71">
        <f>Z33+90/1440</f>
        <v>0.47916666666666663</v>
      </c>
      <c r="AA34" s="21"/>
      <c r="AB34" s="21"/>
      <c r="AC34" s="71">
        <f>AC33+90/1440</f>
        <v>0.47916666666666663</v>
      </c>
      <c r="AD34" s="21"/>
      <c r="AE34" s="19"/>
      <c r="AF34" s="71">
        <f>AF33+90/1440</f>
        <v>0.47916666666666663</v>
      </c>
      <c r="AG34" s="21"/>
      <c r="AH34" s="21"/>
      <c r="AI34" s="71">
        <f>AI33+90/1440</f>
        <v>0.47916666666666663</v>
      </c>
      <c r="AJ34" s="21"/>
      <c r="AK34" s="21"/>
      <c r="AL34" s="19"/>
    </row>
    <row r="35" spans="1:38" x14ac:dyDescent="0.35">
      <c r="A35" s="86" t="s">
        <v>56</v>
      </c>
      <c r="B35" s="87"/>
      <c r="C35" s="88"/>
      <c r="D35" s="66"/>
      <c r="E35" s="67"/>
      <c r="F35" s="67"/>
      <c r="G35" s="67"/>
      <c r="H35" s="67"/>
      <c r="I35" s="67"/>
      <c r="J35" s="68"/>
      <c r="K35" s="66"/>
      <c r="L35" s="67"/>
      <c r="M35" s="67"/>
      <c r="N35" s="69"/>
      <c r="O35" s="67"/>
      <c r="P35" s="67"/>
      <c r="Q35" s="69"/>
      <c r="R35" s="66"/>
      <c r="S35" s="67"/>
      <c r="T35" s="69"/>
      <c r="U35" s="67"/>
      <c r="V35" s="67"/>
      <c r="W35" s="69">
        <f>W34+10/1440</f>
        <v>0.48611111111111105</v>
      </c>
      <c r="X35" s="68"/>
      <c r="Y35" s="66"/>
      <c r="Z35" s="69">
        <f>Z34+10/1440</f>
        <v>0.48611111111111105</v>
      </c>
      <c r="AA35" s="67"/>
      <c r="AB35" s="67"/>
      <c r="AC35" s="69">
        <f>AC34+10/1440</f>
        <v>0.48611111111111105</v>
      </c>
      <c r="AD35" s="67"/>
      <c r="AE35" s="68"/>
      <c r="AF35" s="69">
        <f>AF34+10/1440</f>
        <v>0.48611111111111105</v>
      </c>
      <c r="AG35" s="67"/>
      <c r="AH35" s="67"/>
      <c r="AI35" s="69">
        <f>AI34+10/1440</f>
        <v>0.48611111111111105</v>
      </c>
      <c r="AJ35" s="67"/>
      <c r="AK35" s="67"/>
      <c r="AL35" s="68"/>
    </row>
    <row r="36" spans="1:38" ht="15" thickBot="1" x14ac:dyDescent="0.4">
      <c r="A36" s="89"/>
      <c r="B36" s="90"/>
      <c r="C36" s="91"/>
      <c r="D36" s="70"/>
      <c r="E36" s="21"/>
      <c r="F36" s="21"/>
      <c r="G36" s="21"/>
      <c r="H36" s="21"/>
      <c r="I36" s="21"/>
      <c r="J36" s="19"/>
      <c r="K36" s="70"/>
      <c r="L36" s="21"/>
      <c r="M36" s="21"/>
      <c r="N36" s="71"/>
      <c r="O36" s="21"/>
      <c r="P36" s="21"/>
      <c r="Q36" s="71"/>
      <c r="R36" s="70"/>
      <c r="S36" s="21"/>
      <c r="T36" s="71"/>
      <c r="U36" s="21"/>
      <c r="V36" s="21"/>
      <c r="W36" s="71">
        <f>W35+90/1440</f>
        <v>0.54861111111111105</v>
      </c>
      <c r="X36" s="19"/>
      <c r="Y36" s="70"/>
      <c r="Z36" s="71">
        <f>Z35+90/1440</f>
        <v>0.54861111111111105</v>
      </c>
      <c r="AA36" s="21"/>
      <c r="AB36" s="21"/>
      <c r="AC36" s="71">
        <f>AC35+90/1440</f>
        <v>0.54861111111111105</v>
      </c>
      <c r="AD36" s="21"/>
      <c r="AE36" s="19"/>
      <c r="AF36" s="71">
        <f>AF35+90/1440</f>
        <v>0.54861111111111105</v>
      </c>
      <c r="AG36" s="21"/>
      <c r="AH36" s="21"/>
      <c r="AI36" s="71">
        <f>AI35+90/1440</f>
        <v>0.54861111111111105</v>
      </c>
      <c r="AJ36" s="21"/>
      <c r="AK36" s="21"/>
      <c r="AL36" s="19"/>
    </row>
  </sheetData>
  <mergeCells count="44">
    <mergeCell ref="AF19:AS19"/>
    <mergeCell ref="AG20:AL20"/>
    <mergeCell ref="A31:C32"/>
    <mergeCell ref="A35:C36"/>
    <mergeCell ref="A33:C34"/>
    <mergeCell ref="B20:G20"/>
    <mergeCell ref="R20:W20"/>
    <mergeCell ref="B19:N19"/>
    <mergeCell ref="Q19:AD19"/>
    <mergeCell ref="AO23:AU23"/>
    <mergeCell ref="AO24:AU26"/>
    <mergeCell ref="A27:C28"/>
    <mergeCell ref="A29:C30"/>
    <mergeCell ref="D24:AL24"/>
    <mergeCell ref="D25:J25"/>
    <mergeCell ref="K25:Q25"/>
    <mergeCell ref="R25:X25"/>
    <mergeCell ref="Y25:AE25"/>
    <mergeCell ref="AF25:AL25"/>
    <mergeCell ref="B1:AJ1"/>
    <mergeCell ref="B2:H2"/>
    <mergeCell ref="I2:O2"/>
    <mergeCell ref="P2:V2"/>
    <mergeCell ref="W2:AC2"/>
    <mergeCell ref="AD2:AJ2"/>
    <mergeCell ref="B5:AJ5"/>
    <mergeCell ref="B6:H6"/>
    <mergeCell ref="I6:O6"/>
    <mergeCell ref="P6:V6"/>
    <mergeCell ref="W6:AC6"/>
    <mergeCell ref="AD6:AJ6"/>
    <mergeCell ref="AK10:AQ10"/>
    <mergeCell ref="B9:AQ9"/>
    <mergeCell ref="B10:H10"/>
    <mergeCell ref="I10:O10"/>
    <mergeCell ref="P10:V10"/>
    <mergeCell ref="W10:AC10"/>
    <mergeCell ref="AD10:AJ10"/>
    <mergeCell ref="B13:AJ13"/>
    <mergeCell ref="AD14:AJ14"/>
    <mergeCell ref="W14:AC14"/>
    <mergeCell ref="P14:V14"/>
    <mergeCell ref="I14:O14"/>
    <mergeCell ref="B14:H14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Résumé_Fournisseurs</vt:lpstr>
      <vt:lpstr>Résumé_Par_Espèce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abderrahmane Allal</cp:lastModifiedBy>
  <dcterms:created xsi:type="dcterms:W3CDTF">2026-06-08T18:32:12Z</dcterms:created>
  <dcterms:modified xsi:type="dcterms:W3CDTF">2026-06-09T06:05:09Z</dcterms:modified>
</cp:coreProperties>
</file>