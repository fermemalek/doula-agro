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lek\One Driver\ferme\app\"/>
    </mc:Choice>
  </mc:AlternateContent>
  <xr:revisionPtr revIDLastSave="0" documentId="8_{8773E0D1-2B0E-490D-9F1B-7D3A8824D878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09 Mars N" sheetId="1" r:id="rId1"/>
    <sheet name="09 Mars P" sheetId="10" r:id="rId2"/>
    <sheet name="17 Mars O" sheetId="11" r:id="rId3"/>
    <sheet name="Modèle_A_Dupliquer" sheetId="6" r:id="rId4"/>
    <sheet name="Modèle_A_Dupliquer (2)" sheetId="8" r:id="rId5"/>
    <sheet name="Modèle_A_Dupliquer (3)" sheetId="9" r:id="rId6"/>
    <sheet name="Modèle_A_Dupliquer (1)" sheetId="7" r:id="rId7"/>
    <sheet name="Base_Donnees" sheetId="3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1" l="1"/>
  <c r="G35" i="11"/>
  <c r="F35" i="11"/>
  <c r="E35" i="11"/>
  <c r="D35" i="11"/>
  <c r="C35" i="11"/>
  <c r="H34" i="11"/>
  <c r="G34" i="11"/>
  <c r="F34" i="11"/>
  <c r="E34" i="11"/>
  <c r="D34" i="11"/>
  <c r="C34" i="11"/>
  <c r="H33" i="11"/>
  <c r="G33" i="11"/>
  <c r="D33" i="11"/>
  <c r="C33" i="11"/>
  <c r="F33" i="11"/>
  <c r="H29" i="11"/>
  <c r="G29" i="11"/>
  <c r="F29" i="11"/>
  <c r="E29" i="11"/>
  <c r="D29" i="11"/>
  <c r="C29" i="11"/>
  <c r="H28" i="11"/>
  <c r="G28" i="11"/>
  <c r="F28" i="11"/>
  <c r="E28" i="11"/>
  <c r="D28" i="11"/>
  <c r="C28" i="11"/>
  <c r="H27" i="11"/>
  <c r="G27" i="11"/>
  <c r="F27" i="11"/>
  <c r="B42" i="11"/>
  <c r="E27" i="11"/>
  <c r="F42" i="11"/>
  <c r="D27" i="11"/>
  <c r="C27" i="11"/>
  <c r="H23" i="11"/>
  <c r="G23" i="11"/>
  <c r="F23" i="11"/>
  <c r="E23" i="11"/>
  <c r="D23" i="11"/>
  <c r="C23" i="11"/>
  <c r="H22" i="11"/>
  <c r="G22" i="11"/>
  <c r="F22" i="11"/>
  <c r="E22" i="11"/>
  <c r="D22" i="11"/>
  <c r="C22" i="11"/>
  <c r="H21" i="11"/>
  <c r="G21" i="11"/>
  <c r="F21" i="11"/>
  <c r="E21" i="11"/>
  <c r="D21" i="11"/>
  <c r="C21" i="11"/>
  <c r="H20" i="11"/>
  <c r="G20" i="11"/>
  <c r="F20" i="11"/>
  <c r="E20" i="11"/>
  <c r="D20" i="11"/>
  <c r="C20" i="11"/>
  <c r="H19" i="11"/>
  <c r="G19" i="11"/>
  <c r="F19" i="11"/>
  <c r="E19" i="11"/>
  <c r="D19" i="11"/>
  <c r="C19" i="11"/>
  <c r="H18" i="11"/>
  <c r="G18" i="11"/>
  <c r="F18" i="11"/>
  <c r="E18" i="11"/>
  <c r="D18" i="11"/>
  <c r="C18" i="11"/>
  <c r="H17" i="11"/>
  <c r="G17" i="11"/>
  <c r="F17" i="11"/>
  <c r="E17" i="11"/>
  <c r="D17" i="11"/>
  <c r="C17" i="11"/>
  <c r="H16" i="11"/>
  <c r="G16" i="11"/>
  <c r="F16" i="11"/>
  <c r="D16" i="11"/>
  <c r="C16" i="11"/>
  <c r="E16" i="11"/>
  <c r="H15" i="11"/>
  <c r="G15" i="11"/>
  <c r="F15" i="11"/>
  <c r="D15" i="11"/>
  <c r="C15" i="11"/>
  <c r="H14" i="11"/>
  <c r="G14" i="11"/>
  <c r="F14" i="11"/>
  <c r="D14" i="11"/>
  <c r="C14" i="11"/>
  <c r="H13" i="11"/>
  <c r="G13" i="11"/>
  <c r="F13" i="11"/>
  <c r="D13" i="11"/>
  <c r="C13" i="11"/>
  <c r="H9" i="11"/>
  <c r="G9" i="11"/>
  <c r="F9" i="11"/>
  <c r="E9" i="11"/>
  <c r="D9" i="11"/>
  <c r="C9" i="11"/>
  <c r="H8" i="11"/>
  <c r="G8" i="11"/>
  <c r="F8" i="11"/>
  <c r="D8" i="11"/>
  <c r="C8" i="11"/>
  <c r="E8" i="11"/>
  <c r="H7" i="11"/>
  <c r="G7" i="11"/>
  <c r="F7" i="11"/>
  <c r="D7" i="11"/>
  <c r="C7" i="11"/>
  <c r="E7" i="11"/>
  <c r="H35" i="10"/>
  <c r="G35" i="10"/>
  <c r="F35" i="10"/>
  <c r="E35" i="10"/>
  <c r="D35" i="10"/>
  <c r="C35" i="10"/>
  <c r="H34" i="10"/>
  <c r="G34" i="10"/>
  <c r="F34" i="10"/>
  <c r="E34" i="10"/>
  <c r="D34" i="10"/>
  <c r="C34" i="10"/>
  <c r="H33" i="10"/>
  <c r="G33" i="10"/>
  <c r="F33" i="10"/>
  <c r="E33" i="10"/>
  <c r="D33" i="10"/>
  <c r="C33" i="10"/>
  <c r="H29" i="10"/>
  <c r="G29" i="10"/>
  <c r="F29" i="10"/>
  <c r="E29" i="10"/>
  <c r="D29" i="10"/>
  <c r="C29" i="10"/>
  <c r="H28" i="10"/>
  <c r="G28" i="10"/>
  <c r="F28" i="10"/>
  <c r="E28" i="10"/>
  <c r="D28" i="10"/>
  <c r="C28" i="10"/>
  <c r="H27" i="10"/>
  <c r="G27" i="10"/>
  <c r="F27" i="10"/>
  <c r="B42" i="10"/>
  <c r="E27" i="10"/>
  <c r="F42" i="10"/>
  <c r="D27" i="10"/>
  <c r="C27" i="10"/>
  <c r="H23" i="10"/>
  <c r="G23" i="10"/>
  <c r="F23" i="10"/>
  <c r="E23" i="10"/>
  <c r="D23" i="10"/>
  <c r="C23" i="10"/>
  <c r="H22" i="10"/>
  <c r="G22" i="10"/>
  <c r="F22" i="10"/>
  <c r="E22" i="10"/>
  <c r="D22" i="10"/>
  <c r="C22" i="10"/>
  <c r="H21" i="10"/>
  <c r="G21" i="10"/>
  <c r="F21" i="10"/>
  <c r="E21" i="10"/>
  <c r="D21" i="10"/>
  <c r="C21" i="10"/>
  <c r="H20" i="10"/>
  <c r="G20" i="10"/>
  <c r="F20" i="10"/>
  <c r="E20" i="10"/>
  <c r="D20" i="10"/>
  <c r="C20" i="10"/>
  <c r="H19" i="10"/>
  <c r="G19" i="10"/>
  <c r="F19" i="10"/>
  <c r="E19" i="10"/>
  <c r="D19" i="10"/>
  <c r="C19" i="10"/>
  <c r="H18" i="10"/>
  <c r="G18" i="10"/>
  <c r="F18" i="10"/>
  <c r="E18" i="10"/>
  <c r="D18" i="10"/>
  <c r="C18" i="10"/>
  <c r="H17" i="10"/>
  <c r="G17" i="10"/>
  <c r="F17" i="10"/>
  <c r="E17" i="10"/>
  <c r="D17" i="10"/>
  <c r="C17" i="10"/>
  <c r="H16" i="10"/>
  <c r="G16" i="10"/>
  <c r="F16" i="10"/>
  <c r="D16" i="10"/>
  <c r="C16" i="10"/>
  <c r="E16" i="10"/>
  <c r="H15" i="10"/>
  <c r="G15" i="10"/>
  <c r="D15" i="10"/>
  <c r="C15" i="10"/>
  <c r="F15" i="10"/>
  <c r="H14" i="10"/>
  <c r="G14" i="10"/>
  <c r="D14" i="10"/>
  <c r="C14" i="10"/>
  <c r="F14" i="10"/>
  <c r="H13" i="10"/>
  <c r="G13" i="10"/>
  <c r="D13" i="10"/>
  <c r="C13" i="10"/>
  <c r="H9" i="10"/>
  <c r="G9" i="10"/>
  <c r="F9" i="10"/>
  <c r="E9" i="10"/>
  <c r="D9" i="10"/>
  <c r="C9" i="10"/>
  <c r="H8" i="10"/>
  <c r="G8" i="10"/>
  <c r="F8" i="10"/>
  <c r="D8" i="10"/>
  <c r="C8" i="10"/>
  <c r="E8" i="10"/>
  <c r="H7" i="10"/>
  <c r="G7" i="10"/>
  <c r="D7" i="10"/>
  <c r="C7" i="10"/>
  <c r="F7" i="10"/>
  <c r="B40" i="9"/>
  <c r="E40" i="9"/>
  <c r="H35" i="9"/>
  <c r="G35" i="9"/>
  <c r="F35" i="9"/>
  <c r="E35" i="9"/>
  <c r="D35" i="9"/>
  <c r="C35" i="9"/>
  <c r="H34" i="9"/>
  <c r="G34" i="9"/>
  <c r="F34" i="9"/>
  <c r="B43" i="9"/>
  <c r="E34" i="9"/>
  <c r="D34" i="9"/>
  <c r="C34" i="9"/>
  <c r="H33" i="9"/>
  <c r="G33" i="9"/>
  <c r="F33" i="9"/>
  <c r="E33" i="9"/>
  <c r="F43" i="9"/>
  <c r="D33" i="9"/>
  <c r="C33" i="9"/>
  <c r="H29" i="9"/>
  <c r="G29" i="9"/>
  <c r="F29" i="9"/>
  <c r="E29" i="9"/>
  <c r="D29" i="9"/>
  <c r="C29" i="9"/>
  <c r="H28" i="9"/>
  <c r="G28" i="9"/>
  <c r="F28" i="9"/>
  <c r="E28" i="9"/>
  <c r="D28" i="9"/>
  <c r="C28" i="9"/>
  <c r="H27" i="9"/>
  <c r="G27" i="9"/>
  <c r="F27" i="9"/>
  <c r="B42" i="9"/>
  <c r="E27" i="9"/>
  <c r="F42" i="9"/>
  <c r="D27" i="9"/>
  <c r="C27" i="9"/>
  <c r="H23" i="9"/>
  <c r="G23" i="9"/>
  <c r="F23" i="9"/>
  <c r="E23" i="9"/>
  <c r="D23" i="9"/>
  <c r="C23" i="9"/>
  <c r="H22" i="9"/>
  <c r="G22" i="9"/>
  <c r="F22" i="9"/>
  <c r="E22" i="9"/>
  <c r="D22" i="9"/>
  <c r="C22" i="9"/>
  <c r="H21" i="9"/>
  <c r="G21" i="9"/>
  <c r="F21" i="9"/>
  <c r="E21" i="9"/>
  <c r="D21" i="9"/>
  <c r="C21" i="9"/>
  <c r="H20" i="9"/>
  <c r="G20" i="9"/>
  <c r="F20" i="9"/>
  <c r="E20" i="9"/>
  <c r="D20" i="9"/>
  <c r="C20" i="9"/>
  <c r="H19" i="9"/>
  <c r="G19" i="9"/>
  <c r="F19" i="9"/>
  <c r="E19" i="9"/>
  <c r="D19" i="9"/>
  <c r="C19" i="9"/>
  <c r="H18" i="9"/>
  <c r="G18" i="9"/>
  <c r="F18" i="9"/>
  <c r="E18" i="9"/>
  <c r="D18" i="9"/>
  <c r="C18" i="9"/>
  <c r="H17" i="9"/>
  <c r="G17" i="9"/>
  <c r="F17" i="9"/>
  <c r="E17" i="9"/>
  <c r="D17" i="9"/>
  <c r="C17" i="9"/>
  <c r="H16" i="9"/>
  <c r="G16" i="9"/>
  <c r="F16" i="9"/>
  <c r="E16" i="9"/>
  <c r="D16" i="9"/>
  <c r="C16" i="9"/>
  <c r="H15" i="9"/>
  <c r="G15" i="9"/>
  <c r="F15" i="9"/>
  <c r="E15" i="9"/>
  <c r="D15" i="9"/>
  <c r="C15" i="9"/>
  <c r="H14" i="9"/>
  <c r="G14" i="9"/>
  <c r="F14" i="9"/>
  <c r="E14" i="9"/>
  <c r="D14" i="9"/>
  <c r="C14" i="9"/>
  <c r="H13" i="9"/>
  <c r="G13" i="9"/>
  <c r="F13" i="9"/>
  <c r="B41" i="9"/>
  <c r="E13" i="9"/>
  <c r="F41" i="9"/>
  <c r="D13" i="9"/>
  <c r="C13" i="9"/>
  <c r="H9" i="9"/>
  <c r="G9" i="9"/>
  <c r="F9" i="9"/>
  <c r="E9" i="9"/>
  <c r="D9" i="9"/>
  <c r="C9" i="9"/>
  <c r="H8" i="9"/>
  <c r="G8" i="9"/>
  <c r="F8" i="9"/>
  <c r="E8" i="9"/>
  <c r="D8" i="9"/>
  <c r="C8" i="9"/>
  <c r="H7" i="9"/>
  <c r="G7" i="9"/>
  <c r="F7" i="9"/>
  <c r="E7" i="9"/>
  <c r="F40" i="9"/>
  <c r="F44" i="9"/>
  <c r="F1" i="9"/>
  <c r="D7" i="9"/>
  <c r="C7" i="9"/>
  <c r="B42" i="8"/>
  <c r="E42" i="8"/>
  <c r="B40" i="8"/>
  <c r="E40" i="8"/>
  <c r="H35" i="8"/>
  <c r="G35" i="8"/>
  <c r="F35" i="8"/>
  <c r="E35" i="8"/>
  <c r="D35" i="8"/>
  <c r="C35" i="8"/>
  <c r="H34" i="8"/>
  <c r="G34" i="8"/>
  <c r="F34" i="8"/>
  <c r="E34" i="8"/>
  <c r="D34" i="8"/>
  <c r="C34" i="8"/>
  <c r="H33" i="8"/>
  <c r="G33" i="8"/>
  <c r="F33" i="8"/>
  <c r="B43" i="8"/>
  <c r="E33" i="8"/>
  <c r="F43" i="8"/>
  <c r="D33" i="8"/>
  <c r="C33" i="8"/>
  <c r="H29" i="8"/>
  <c r="G29" i="8"/>
  <c r="F29" i="8"/>
  <c r="E29" i="8"/>
  <c r="D29" i="8"/>
  <c r="C29" i="8"/>
  <c r="H28" i="8"/>
  <c r="G28" i="8"/>
  <c r="F28" i="8"/>
  <c r="E28" i="8"/>
  <c r="D28" i="8"/>
  <c r="C28" i="8"/>
  <c r="H27" i="8"/>
  <c r="G27" i="8"/>
  <c r="F27" i="8"/>
  <c r="E27" i="8"/>
  <c r="F42" i="8"/>
  <c r="D27" i="8"/>
  <c r="C27" i="8"/>
  <c r="H23" i="8"/>
  <c r="G23" i="8"/>
  <c r="F23" i="8"/>
  <c r="E23" i="8"/>
  <c r="D23" i="8"/>
  <c r="C23" i="8"/>
  <c r="H22" i="8"/>
  <c r="G22" i="8"/>
  <c r="F22" i="8"/>
  <c r="E22" i="8"/>
  <c r="D22" i="8"/>
  <c r="C22" i="8"/>
  <c r="H21" i="8"/>
  <c r="G21" i="8"/>
  <c r="F21" i="8"/>
  <c r="E21" i="8"/>
  <c r="D21" i="8"/>
  <c r="C21" i="8"/>
  <c r="H20" i="8"/>
  <c r="G20" i="8"/>
  <c r="F20" i="8"/>
  <c r="E20" i="8"/>
  <c r="D20" i="8"/>
  <c r="C20" i="8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H15" i="8"/>
  <c r="G15" i="8"/>
  <c r="F15" i="8"/>
  <c r="E15" i="8"/>
  <c r="D15" i="8"/>
  <c r="C15" i="8"/>
  <c r="H14" i="8"/>
  <c r="G14" i="8"/>
  <c r="F14" i="8"/>
  <c r="E14" i="8"/>
  <c r="F41" i="8"/>
  <c r="D14" i="8"/>
  <c r="C14" i="8"/>
  <c r="H13" i="8"/>
  <c r="G13" i="8"/>
  <c r="F13" i="8"/>
  <c r="B41" i="8"/>
  <c r="E13" i="8"/>
  <c r="D13" i="8"/>
  <c r="C13" i="8"/>
  <c r="H9" i="8"/>
  <c r="G9" i="8"/>
  <c r="F9" i="8"/>
  <c r="E9" i="8"/>
  <c r="D9" i="8"/>
  <c r="C9" i="8"/>
  <c r="H8" i="8"/>
  <c r="G8" i="8"/>
  <c r="F8" i="8"/>
  <c r="E8" i="8"/>
  <c r="D8" i="8"/>
  <c r="C8" i="8"/>
  <c r="H7" i="8"/>
  <c r="G7" i="8"/>
  <c r="F7" i="8"/>
  <c r="E7" i="8"/>
  <c r="F40" i="8"/>
  <c r="D7" i="8"/>
  <c r="C7" i="8"/>
  <c r="B43" i="7"/>
  <c r="E43" i="7"/>
  <c r="B40" i="7"/>
  <c r="E40" i="7"/>
  <c r="H35" i="7"/>
  <c r="G35" i="7"/>
  <c r="F35" i="7"/>
  <c r="E35" i="7"/>
  <c r="D35" i="7"/>
  <c r="C35" i="7"/>
  <c r="H34" i="7"/>
  <c r="G34" i="7"/>
  <c r="F34" i="7"/>
  <c r="E34" i="7"/>
  <c r="D34" i="7"/>
  <c r="C34" i="7"/>
  <c r="H33" i="7"/>
  <c r="G33" i="7"/>
  <c r="F33" i="7"/>
  <c r="E33" i="7"/>
  <c r="F43" i="7"/>
  <c r="D33" i="7"/>
  <c r="C33" i="7"/>
  <c r="H29" i="7"/>
  <c r="G29" i="7"/>
  <c r="F29" i="7"/>
  <c r="E29" i="7"/>
  <c r="D29" i="7"/>
  <c r="C29" i="7"/>
  <c r="H28" i="7"/>
  <c r="G28" i="7"/>
  <c r="F28" i="7"/>
  <c r="E28" i="7"/>
  <c r="D28" i="7"/>
  <c r="C28" i="7"/>
  <c r="H27" i="7"/>
  <c r="G27" i="7"/>
  <c r="F27" i="7"/>
  <c r="B42" i="7"/>
  <c r="E27" i="7"/>
  <c r="F42" i="7"/>
  <c r="D27" i="7"/>
  <c r="C27" i="7"/>
  <c r="H23" i="7"/>
  <c r="G23" i="7"/>
  <c r="F23" i="7"/>
  <c r="E23" i="7"/>
  <c r="D23" i="7"/>
  <c r="C23" i="7"/>
  <c r="H22" i="7"/>
  <c r="G22" i="7"/>
  <c r="F22" i="7"/>
  <c r="E22" i="7"/>
  <c r="D22" i="7"/>
  <c r="C22" i="7"/>
  <c r="H21" i="7"/>
  <c r="G21" i="7"/>
  <c r="F21" i="7"/>
  <c r="E21" i="7"/>
  <c r="D21" i="7"/>
  <c r="C21" i="7"/>
  <c r="H20" i="7"/>
  <c r="G20" i="7"/>
  <c r="F20" i="7"/>
  <c r="E20" i="7"/>
  <c r="D20" i="7"/>
  <c r="C20" i="7"/>
  <c r="H19" i="7"/>
  <c r="G19" i="7"/>
  <c r="F19" i="7"/>
  <c r="E19" i="7"/>
  <c r="D19" i="7"/>
  <c r="C19" i="7"/>
  <c r="H18" i="7"/>
  <c r="G18" i="7"/>
  <c r="F18" i="7"/>
  <c r="E18" i="7"/>
  <c r="D18" i="7"/>
  <c r="C18" i="7"/>
  <c r="H17" i="7"/>
  <c r="G17" i="7"/>
  <c r="F17" i="7"/>
  <c r="E17" i="7"/>
  <c r="D17" i="7"/>
  <c r="C17" i="7"/>
  <c r="H16" i="7"/>
  <c r="G16" i="7"/>
  <c r="F16" i="7"/>
  <c r="E16" i="7"/>
  <c r="D16" i="7"/>
  <c r="C16" i="7"/>
  <c r="H15" i="7"/>
  <c r="G15" i="7"/>
  <c r="F15" i="7"/>
  <c r="E15" i="7"/>
  <c r="D15" i="7"/>
  <c r="C15" i="7"/>
  <c r="H14" i="7"/>
  <c r="G14" i="7"/>
  <c r="F14" i="7"/>
  <c r="E14" i="7"/>
  <c r="D14" i="7"/>
  <c r="C14" i="7"/>
  <c r="H13" i="7"/>
  <c r="G13" i="7"/>
  <c r="F13" i="7"/>
  <c r="B41" i="7"/>
  <c r="E13" i="7"/>
  <c r="F41" i="7"/>
  <c r="D13" i="7"/>
  <c r="C13" i="7"/>
  <c r="H9" i="7"/>
  <c r="G9" i="7"/>
  <c r="F9" i="7"/>
  <c r="E9" i="7"/>
  <c r="D9" i="7"/>
  <c r="C9" i="7"/>
  <c r="H8" i="7"/>
  <c r="G8" i="7"/>
  <c r="F8" i="7"/>
  <c r="E8" i="7"/>
  <c r="D8" i="7"/>
  <c r="C8" i="7"/>
  <c r="H7" i="7"/>
  <c r="G7" i="7"/>
  <c r="F7" i="7"/>
  <c r="E7" i="7"/>
  <c r="F40" i="7"/>
  <c r="F44" i="7"/>
  <c r="F1" i="7"/>
  <c r="D7" i="7"/>
  <c r="C7" i="7"/>
  <c r="F7" i="6"/>
  <c r="F8" i="6"/>
  <c r="F9" i="6"/>
  <c r="B40" i="6"/>
  <c r="C7" i="6"/>
  <c r="C8" i="6"/>
  <c r="C9" i="6"/>
  <c r="C40" i="6"/>
  <c r="D40" i="6"/>
  <c r="H35" i="6"/>
  <c r="G35" i="6"/>
  <c r="F35" i="6"/>
  <c r="E35" i="6"/>
  <c r="D35" i="6"/>
  <c r="C35" i="6"/>
  <c r="H34" i="6"/>
  <c r="G34" i="6"/>
  <c r="F34" i="6"/>
  <c r="F33" i="6"/>
  <c r="B43" i="6"/>
  <c r="E34" i="6"/>
  <c r="E33" i="6"/>
  <c r="F43" i="6"/>
  <c r="D34" i="6"/>
  <c r="C34" i="6"/>
  <c r="H33" i="6"/>
  <c r="G33" i="6"/>
  <c r="D33" i="6"/>
  <c r="C33" i="6"/>
  <c r="H29" i="6"/>
  <c r="G29" i="6"/>
  <c r="F29" i="6"/>
  <c r="E29" i="6"/>
  <c r="D29" i="6"/>
  <c r="C29" i="6"/>
  <c r="H28" i="6"/>
  <c r="G28" i="6"/>
  <c r="F28" i="6"/>
  <c r="E28" i="6"/>
  <c r="D28" i="6"/>
  <c r="C28" i="6"/>
  <c r="H27" i="6"/>
  <c r="G27" i="6"/>
  <c r="F27" i="6"/>
  <c r="B42" i="6"/>
  <c r="E27" i="6"/>
  <c r="F42" i="6"/>
  <c r="D27" i="6"/>
  <c r="C27" i="6"/>
  <c r="H23" i="6"/>
  <c r="G23" i="6"/>
  <c r="F23" i="6"/>
  <c r="E23" i="6"/>
  <c r="D23" i="6"/>
  <c r="C23" i="6"/>
  <c r="H22" i="6"/>
  <c r="G22" i="6"/>
  <c r="F22" i="6"/>
  <c r="E22" i="6"/>
  <c r="D22" i="6"/>
  <c r="C22" i="6"/>
  <c r="H21" i="6"/>
  <c r="G21" i="6"/>
  <c r="F21" i="6"/>
  <c r="E21" i="6"/>
  <c r="D21" i="6"/>
  <c r="C21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H16" i="6"/>
  <c r="G16" i="6"/>
  <c r="F16" i="6"/>
  <c r="E16" i="6"/>
  <c r="D16" i="6"/>
  <c r="C16" i="6"/>
  <c r="H15" i="6"/>
  <c r="G15" i="6"/>
  <c r="F15" i="6"/>
  <c r="C15" i="6"/>
  <c r="D15" i="6"/>
  <c r="E15" i="6"/>
  <c r="H14" i="6"/>
  <c r="G14" i="6"/>
  <c r="C14" i="6"/>
  <c r="F14" i="6"/>
  <c r="D14" i="6"/>
  <c r="E14" i="6"/>
  <c r="C13" i="6"/>
  <c r="D13" i="6"/>
  <c r="E13" i="6"/>
  <c r="F41" i="6"/>
  <c r="H13" i="6"/>
  <c r="G13" i="6"/>
  <c r="F13" i="6"/>
  <c r="B41" i="6"/>
  <c r="H9" i="6"/>
  <c r="G9" i="6"/>
  <c r="E9" i="6"/>
  <c r="D9" i="6"/>
  <c r="H8" i="6"/>
  <c r="G8" i="6"/>
  <c r="E8" i="6"/>
  <c r="D8" i="6"/>
  <c r="H7" i="6"/>
  <c r="G7" i="6"/>
  <c r="D7" i="6"/>
  <c r="E7" i="6"/>
  <c r="F40" i="6"/>
  <c r="F44" i="6"/>
  <c r="F1" i="6"/>
  <c r="H35" i="1"/>
  <c r="G35" i="1"/>
  <c r="F35" i="1"/>
  <c r="E35" i="1"/>
  <c r="D35" i="1"/>
  <c r="C35" i="1"/>
  <c r="H34" i="1"/>
  <c r="G34" i="1"/>
  <c r="F34" i="1"/>
  <c r="D34" i="1"/>
  <c r="E34" i="1"/>
  <c r="C34" i="1"/>
  <c r="H33" i="1"/>
  <c r="G33" i="1"/>
  <c r="F33" i="1"/>
  <c r="D33" i="1"/>
  <c r="C33" i="1"/>
  <c r="E33" i="1"/>
  <c r="H29" i="1"/>
  <c r="G29" i="1"/>
  <c r="F29" i="1"/>
  <c r="D29" i="1"/>
  <c r="C29" i="1"/>
  <c r="E29" i="1"/>
  <c r="H28" i="1"/>
  <c r="G28" i="1"/>
  <c r="F28" i="1"/>
  <c r="D28" i="1"/>
  <c r="C28" i="1"/>
  <c r="E28" i="1"/>
  <c r="H27" i="1"/>
  <c r="G27" i="1"/>
  <c r="F27" i="1"/>
  <c r="D27" i="1"/>
  <c r="C27" i="1"/>
  <c r="E27" i="1"/>
  <c r="H23" i="1"/>
  <c r="G23" i="1"/>
  <c r="F23" i="1"/>
  <c r="D23" i="1"/>
  <c r="C23" i="1"/>
  <c r="E23" i="1"/>
  <c r="H22" i="1"/>
  <c r="G22" i="1"/>
  <c r="F22" i="1"/>
  <c r="D22" i="1"/>
  <c r="C22" i="1"/>
  <c r="H21" i="1"/>
  <c r="G21" i="1"/>
  <c r="F21" i="1"/>
  <c r="D21" i="1"/>
  <c r="C21" i="1"/>
  <c r="E21" i="1"/>
  <c r="H20" i="1"/>
  <c r="G20" i="1"/>
  <c r="D20" i="1"/>
  <c r="C20" i="1"/>
  <c r="F20" i="1"/>
  <c r="H19" i="1"/>
  <c r="G19" i="1"/>
  <c r="F19" i="1"/>
  <c r="D19" i="1"/>
  <c r="C19" i="1"/>
  <c r="E19" i="1"/>
  <c r="H18" i="1"/>
  <c r="G18" i="1"/>
  <c r="F18" i="1"/>
  <c r="D18" i="1"/>
  <c r="C18" i="1"/>
  <c r="E18" i="1"/>
  <c r="H17" i="1"/>
  <c r="G17" i="1"/>
  <c r="F17" i="1"/>
  <c r="D17" i="1"/>
  <c r="C17" i="1"/>
  <c r="E17" i="1"/>
  <c r="H16" i="1"/>
  <c r="G16" i="1"/>
  <c r="F16" i="1"/>
  <c r="D16" i="1"/>
  <c r="C16" i="1"/>
  <c r="H15" i="1"/>
  <c r="G15" i="1"/>
  <c r="F15" i="1"/>
  <c r="D15" i="1"/>
  <c r="C15" i="1"/>
  <c r="H14" i="1"/>
  <c r="G14" i="1"/>
  <c r="D14" i="1"/>
  <c r="C14" i="1"/>
  <c r="F14" i="1"/>
  <c r="H13" i="1"/>
  <c r="G13" i="1"/>
  <c r="D13" i="1"/>
  <c r="C13" i="1"/>
  <c r="F13" i="1"/>
  <c r="H9" i="1"/>
  <c r="G9" i="1"/>
  <c r="F9" i="1"/>
  <c r="E9" i="1"/>
  <c r="D9" i="1"/>
  <c r="C9" i="1"/>
  <c r="H8" i="1"/>
  <c r="G8" i="1"/>
  <c r="F8" i="1"/>
  <c r="D8" i="1"/>
  <c r="C8" i="1"/>
  <c r="H7" i="1"/>
  <c r="G7" i="1"/>
  <c r="F7" i="1"/>
  <c r="D7" i="1"/>
  <c r="C7" i="1"/>
  <c r="F40" i="11"/>
  <c r="B40" i="11"/>
  <c r="E33" i="11"/>
  <c r="F43" i="11"/>
  <c r="E15" i="11"/>
  <c r="E14" i="11"/>
  <c r="B41" i="11"/>
  <c r="C41" i="11"/>
  <c r="D41" i="11"/>
  <c r="E13" i="11"/>
  <c r="B43" i="11"/>
  <c r="E40" i="11"/>
  <c r="C40" i="11"/>
  <c r="D40" i="11"/>
  <c r="E43" i="11"/>
  <c r="C43" i="11"/>
  <c r="D43" i="11"/>
  <c r="E42" i="11"/>
  <c r="C42" i="11"/>
  <c r="D42" i="11"/>
  <c r="F43" i="10"/>
  <c r="B43" i="10"/>
  <c r="E43" i="10"/>
  <c r="E13" i="10"/>
  <c r="B40" i="10"/>
  <c r="E40" i="10"/>
  <c r="E42" i="10"/>
  <c r="C42" i="10"/>
  <c r="D42" i="10"/>
  <c r="E15" i="10"/>
  <c r="F13" i="10"/>
  <c r="B41" i="10"/>
  <c r="E7" i="10"/>
  <c r="F40" i="10"/>
  <c r="E14" i="10"/>
  <c r="E8" i="1"/>
  <c r="F40" i="1"/>
  <c r="E7" i="1"/>
  <c r="E14" i="1"/>
  <c r="E42" i="9"/>
  <c r="C42" i="9"/>
  <c r="D42" i="9"/>
  <c r="E43" i="9"/>
  <c r="C43" i="9"/>
  <c r="D43" i="9"/>
  <c r="C41" i="8"/>
  <c r="D41" i="8"/>
  <c r="E41" i="8"/>
  <c r="E43" i="8"/>
  <c r="C43" i="8"/>
  <c r="D43" i="8"/>
  <c r="E41" i="9"/>
  <c r="C41" i="9"/>
  <c r="D41" i="9"/>
  <c r="F44" i="8"/>
  <c r="F1" i="8"/>
  <c r="C40" i="9"/>
  <c r="D40" i="9"/>
  <c r="C42" i="8"/>
  <c r="D42" i="8"/>
  <c r="C40" i="8"/>
  <c r="D40" i="8"/>
  <c r="E42" i="7"/>
  <c r="C42" i="7"/>
  <c r="D42" i="7"/>
  <c r="E41" i="7"/>
  <c r="C41" i="7"/>
  <c r="D41" i="7"/>
  <c r="C43" i="7"/>
  <c r="D43" i="7"/>
  <c r="C40" i="7"/>
  <c r="D40" i="7"/>
  <c r="E42" i="6"/>
  <c r="C42" i="6"/>
  <c r="D42" i="6"/>
  <c r="E43" i="6"/>
  <c r="C43" i="6"/>
  <c r="D43" i="6"/>
  <c r="E41" i="6"/>
  <c r="C41" i="6"/>
  <c r="D41" i="6"/>
  <c r="E40" i="6"/>
  <c r="E22" i="1"/>
  <c r="E20" i="1"/>
  <c r="E16" i="1"/>
  <c r="E15" i="1"/>
  <c r="F43" i="1"/>
  <c r="B43" i="1"/>
  <c r="E43" i="1"/>
  <c r="F42" i="1"/>
  <c r="B42" i="1"/>
  <c r="C42" i="1"/>
  <c r="D42" i="1"/>
  <c r="B41" i="1"/>
  <c r="E41" i="1"/>
  <c r="B40" i="1"/>
  <c r="C40" i="1"/>
  <c r="D40" i="1"/>
  <c r="E13" i="1"/>
  <c r="F41" i="11"/>
  <c r="F44" i="11"/>
  <c r="F1" i="11"/>
  <c r="E41" i="11"/>
  <c r="F41" i="10"/>
  <c r="C43" i="10"/>
  <c r="D43" i="10"/>
  <c r="C40" i="10"/>
  <c r="D40" i="10"/>
  <c r="E41" i="10"/>
  <c r="C41" i="10"/>
  <c r="D41" i="10"/>
  <c r="F44" i="10"/>
  <c r="F1" i="10"/>
  <c r="E40" i="1"/>
  <c r="C43" i="1"/>
  <c r="D43" i="1"/>
  <c r="F41" i="1"/>
  <c r="E42" i="1"/>
  <c r="C41" i="1"/>
  <c r="D41" i="1"/>
  <c r="F44" i="1"/>
  <c r="F1" i="1"/>
</calcChain>
</file>

<file path=xl/sharedStrings.xml><?xml version="1.0" encoding="utf-8"?>
<sst xmlns="http://schemas.openxmlformats.org/spreadsheetml/2006/main" count="448" uniqueCount="100">
  <si>
    <t>SUIVI LOGISTIQUE ET FINANCIER DES APPLICATIONS PAR BAC (V9)</t>
  </si>
  <si>
    <t>NOMBRE D'HECTARES :</t>
  </si>
  <si>
    <t>DATE D'APPLICATION :</t>
  </si>
  <si>
    <t>👉 RÈGLES DU BAC A : CUVES DU CALCIUM ET ACIDE NITRIQUE</t>
  </si>
  <si>
    <t>Produit (Menu Déroulant)</t>
  </si>
  <si>
    <t>Dose / Ha</t>
  </si>
  <si>
    <t>Dose TOTALE (Auto)</t>
  </si>
  <si>
    <t>Prix Unitaire</t>
  </si>
  <si>
    <t>Montant Ligne</t>
  </si>
  <si>
    <t>Eau Min (L)</t>
  </si>
  <si>
    <t>Temps (min)</t>
  </si>
  <si>
    <t>Règle de Sécurité / Note de Terrain</t>
  </si>
  <si>
    <t>👉 RÈGLES DU BAC B : CUVE ÉNERGIE &amp; MACRO-ÉLÉMENTS (11 Lignes Disponibles)</t>
  </si>
  <si>
    <t>👉 RÈGLES DU BAC C : ACIDES DE NETTOYAGE ET OLIGO-ÉLÉMENTS</t>
  </si>
  <si>
    <t>👉 RÈGLES DU BAC D (SÉPARÉ) : ACIDE HUMIQUE ET FER CHÉLATÉ</t>
  </si>
  <si>
    <t>RÉSUMÉ COMPLÈT DE REMPLISSAGE ET COÛTS PAR BAC (RESTAURATION CUVE 1000L)</t>
  </si>
  <si>
    <t>Identifiant Bac</t>
  </si>
  <si>
    <t>Eau Initiale à Verser (L)</t>
  </si>
  <si>
    <t>Vol. Solution Estimé (L)</t>
  </si>
  <si>
    <t>Alerte Cuve 1000L</t>
  </si>
  <si>
    <t>Temps Agitation (min)</t>
  </si>
  <si>
    <t>Coût Total du Bac</t>
  </si>
  <si>
    <t>BAC A</t>
  </si>
  <si>
    <t>BAC B</t>
  </si>
  <si>
    <t>BAC C</t>
  </si>
  <si>
    <t>BAC D (SÉPARÉ)</t>
  </si>
  <si>
    <t>Produit</t>
  </si>
  <si>
    <t>Type</t>
  </si>
  <si>
    <t>Solubilité</t>
  </si>
  <si>
    <t>Temps</t>
  </si>
  <si>
    <t>Note</t>
  </si>
  <si>
    <t>Nitrate de Calcium / نترات كالسـيوم</t>
  </si>
  <si>
    <t>Calcium</t>
  </si>
  <si>
    <t>CRITIQUE : Isoler totalement des Sulfates/Phosphates.</t>
  </si>
  <si>
    <t>Acide Nitrique / حامض نيتريك</t>
  </si>
  <si>
    <t>Acide / Azote</t>
  </si>
  <si>
    <t>CORROSIF : Gants + lunettes de protection obligatoires.</t>
  </si>
  <si>
    <t>Urée / يوريا</t>
  </si>
  <si>
    <t>Azote</t>
  </si>
  <si>
    <t>Très soluble. Refroidit fortement l'eau (endothermique).</t>
  </si>
  <si>
    <t>Nitrate de Potassium / نترات البوتاسيوم</t>
  </si>
  <si>
    <t>Potassium / Azote</t>
  </si>
  <si>
    <t>Sensible à l'eau froide du puits. Agitation requise.</t>
  </si>
  <si>
    <t>Sulfate de Potassium / سلفات البوتاسيوم SOP</t>
  </si>
  <si>
    <t>Potassium / Soufre</t>
  </si>
  <si>
    <t>Le plus difficile à dissoudre du marché. Risque de dépôt.</t>
  </si>
  <si>
    <t>Nitrate de Magnésium / نترات ماغنسيوم</t>
  </si>
  <si>
    <t>Magnésium / Azote</t>
  </si>
  <si>
    <t>Excellente source de magnésium, très soluble.</t>
  </si>
  <si>
    <t>Sulfate de Magnésium / سلفات ماغنسيوم</t>
  </si>
  <si>
    <t>Magnésium / Soufre</t>
  </si>
  <si>
    <t>Sel d'Epsom. Parfaitement compatible dans le bloc B.</t>
  </si>
  <si>
    <t>MAP (12-61-0) / ماب</t>
  </si>
  <si>
    <t>Phosphore</t>
  </si>
  <si>
    <t>Source de phosphore pure et hautement acidifiante.</t>
  </si>
  <si>
    <t>MKP (0-52-34) / ام كي بي</t>
  </si>
  <si>
    <t>Phosphore / Potassium</t>
  </si>
  <si>
    <t>Idéal pour la phase finale de fructification.</t>
  </si>
  <si>
    <t>DAP / داب</t>
  </si>
  <si>
    <t>Phosphore / Azote</t>
  </si>
  <si>
    <t>Attention au pH du sol calcaire (Bénahar pH 8.6).</t>
  </si>
  <si>
    <t>Sulfate d'Ammonium / سلفات أمونيوم</t>
  </si>
  <si>
    <t>Azote / Soufre</t>
  </si>
  <si>
    <t>Acidification forte de la zone racinaire.</t>
  </si>
  <si>
    <t>Nitrate d'Ammonium / نترات أمونيوم</t>
  </si>
  <si>
    <t>Dissolution éclair pour un coup de fouet azoté.</t>
  </si>
  <si>
    <t>Acide Phosphorique / حامض فوسفوريك</t>
  </si>
  <si>
    <t>Acide / Phosphore</t>
  </si>
  <si>
    <t>Sécurité : Toujours verser l'acide dans l'eau.</t>
  </si>
  <si>
    <t>Acide Citrique / حامض سيتريك</t>
  </si>
  <si>
    <t>Acide / Nettoyage</t>
  </si>
  <si>
    <t>Excellent détartrant organique pour vos goutteurs.</t>
  </si>
  <si>
    <t>Acide Ascorbique / اسكوربيك اسيد</t>
  </si>
  <si>
    <t>Acide</t>
  </si>
  <si>
    <t>Vitamine C. Protéger de la lumière directe.</t>
  </si>
  <si>
    <t>Oligo-éléments / عناصر صغري</t>
  </si>
  <si>
    <t>Oligo-éléments</t>
  </si>
  <si>
    <t>Apport complet de micro-nutriments.</t>
  </si>
  <si>
    <t>Acide Humique / أسمدة عضوية</t>
  </si>
  <si>
    <t>Organique</t>
  </si>
  <si>
    <t>IMPORTANT : Risque de grumeaux si mélangé à un acide fort.</t>
  </si>
  <si>
    <t>Fer 6% / حديد 6%</t>
  </si>
  <si>
    <t>Oligo-élément</t>
  </si>
  <si>
    <t>Chélate précieux (EDDHA). Sensible aux UV directs.</t>
  </si>
  <si>
    <t>espèce</t>
  </si>
  <si>
    <t>Nectarine</t>
  </si>
  <si>
    <t>N/ Semaine</t>
  </si>
  <si>
    <t>Pommier</t>
  </si>
  <si>
    <t>Olivier</t>
  </si>
  <si>
    <t xml:space="preserve">الزيتون </t>
  </si>
  <si>
    <t xml:space="preserve">نترات بوتاسيوم 7 ك </t>
  </si>
  <si>
    <t xml:space="preserve">نترات ماغنسيوم 2.5 </t>
  </si>
  <si>
    <t xml:space="preserve">حامض فوسفوريك 1 </t>
  </si>
  <si>
    <t xml:space="preserve">نيتريك ١ لتر </t>
  </si>
  <si>
    <t xml:space="preserve">٣ مرات </t>
  </si>
  <si>
    <t>……</t>
  </si>
  <si>
    <t xml:space="preserve">نترات كالسيوم 3.5 كيلو </t>
  </si>
  <si>
    <t xml:space="preserve">سيتريك اسيد 2 </t>
  </si>
  <si>
    <t xml:space="preserve">أسكوربيك اسيد 1 ك </t>
  </si>
  <si>
    <t>مرة في الاسبوع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</si>
</sst>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DA&quot;"/>
    <numFmt numFmtId="165" formatCode="&quot;COÛT TOTAL DU PROGRAMME : &quot;\ #,##0.00&quot; DA&quot;"/>
  </numFmts>
  <fonts count="12" x14ac:knownFonts="1">
    <font>
      <sz val="11"/>
      <color theme="1"/>
      <name val="Calibri"/>
      <family val="2"/>
      <scheme val="minor"/>
    </font>
    <font>
      <b/>
      <sz val="15"/>
      <color rgb="FF1F4E78"/>
      <name val="Segoe UI"/>
      <family val="2"/>
    </font>
    <font>
      <b/>
      <sz val="10"/>
      <name val="Segoe UI"/>
      <family val="2"/>
    </font>
    <font>
      <b/>
      <sz val="11"/>
      <color rgb="FF1F4E78"/>
      <name val="Segoe UI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3"/>
      <color rgb="FFFFFFFF"/>
      <name val="Segoe UI"/>
      <family val="2"/>
    </font>
    <font>
      <sz val="12"/>
      <name val="Segoe UI"/>
      <family val="2"/>
    </font>
    <font>
      <sz val="12"/>
      <color theme="1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  <fill>
      <patternFill patternType="solid">
        <fgColor rgb="FFF2DCDB"/>
        <bgColor rgb="FFF2DCDB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2E5B32"/>
        <bgColor rgb="FF2E5B3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4" fontId="5" fillId="6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right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7" fillId="0" borderId="1" xfId="0" applyFont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5" fontId="6" fillId="5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9" fillId="10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orkbookViewId="0">
      <selection activeCell="B7" sqref="B7"/>
    </sheetView>
  </sheetViews>
  <sheetFormatPr baseColWidth="10" defaultColWidth="8.90625" defaultRowHeight="14.5" x14ac:dyDescent="0.35"/>
  <cols>
    <col min="1" max="1" width="39.6328125" style="17" customWidth="1"/>
    <col min="2" max="2" width="15.453125" style="17" customWidth="1"/>
    <col min="3" max="3" width="14.26953125" style="17" customWidth="1"/>
    <col min="4" max="4" width="14.54296875" style="17" customWidth="1"/>
    <col min="5" max="5" width="14.90625" style="17" customWidth="1"/>
    <col min="6" max="6" width="13.26953125" style="17" customWidth="1"/>
    <col min="7" max="7" width="14.36328125" style="17" customWidth="1"/>
    <col min="8" max="8" width="68.1796875" style="17" customWidth="1"/>
    <col min="9" max="9" width="16" style="17" customWidth="1"/>
    <col min="10" max="16384" width="8.90625" style="17"/>
  </cols>
  <sheetData>
    <row r="1" spans="1:8" ht="30" customHeight="1" x14ac:dyDescent="0.35">
      <c r="A1" s="27" t="s">
        <v>0</v>
      </c>
      <c r="B1" s="27"/>
      <c r="C1" s="27"/>
      <c r="D1" s="27"/>
      <c r="E1" s="27"/>
      <c r="F1" s="28">
        <f>F44</f>
        <v>16113.279999999999</v>
      </c>
      <c r="G1" s="29"/>
      <c r="H1" s="29"/>
    </row>
    <row r="2" spans="1:8" ht="16" x14ac:dyDescent="0.35">
      <c r="A2" s="18" t="s">
        <v>1</v>
      </c>
      <c r="B2" s="1">
        <v>4</v>
      </c>
      <c r="D2" s="23" t="s">
        <v>84</v>
      </c>
      <c r="E2" s="22" t="s">
        <v>85</v>
      </c>
    </row>
    <row r="3" spans="1:8" ht="16" x14ac:dyDescent="0.35">
      <c r="A3" s="18" t="s">
        <v>2</v>
      </c>
      <c r="B3" s="20">
        <v>46090</v>
      </c>
      <c r="D3" s="23" t="s">
        <v>86</v>
      </c>
      <c r="E3" s="21">
        <v>1</v>
      </c>
    </row>
    <row r="5" spans="1:8" ht="16.5" x14ac:dyDescent="0.35">
      <c r="A5" s="30" t="s">
        <v>3</v>
      </c>
      <c r="B5" s="25"/>
      <c r="C5" s="25"/>
      <c r="D5" s="25"/>
      <c r="E5" s="25"/>
      <c r="F5" s="25"/>
      <c r="G5" s="25"/>
      <c r="H5" s="25"/>
    </row>
    <row r="6" spans="1:8" ht="24" customHeight="1" x14ac:dyDescent="0.3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</row>
    <row r="7" spans="1:8" ht="22.15" customHeight="1" x14ac:dyDescent="0.35">
      <c r="A7" s="15" t="s">
        <v>31</v>
      </c>
      <c r="B7" s="4">
        <v>3.5</v>
      </c>
      <c r="C7" s="5">
        <f>IF(A7="","",B7*$B$2)</f>
        <v>14</v>
      </c>
      <c r="D7" s="6">
        <f>IF(A7="","",VLOOKUP(A7,Base_Donnees!A:F,6,FALSE))</f>
        <v>134.44999999999999</v>
      </c>
      <c r="E7" s="6">
        <f>IF(A7="","",C7*D7)</f>
        <v>1882.2999999999997</v>
      </c>
      <c r="F7" s="7">
        <f>IF(A7="","",IF(VLOOKUP(A7,Base_Donnees!A:F,3,FALSE)&gt;4000,0,ROUNDUP((C7*1000/VLOOKUP(A7,Base_Donnees!A:F,3,FALSE))*1.5,0)))</f>
        <v>175</v>
      </c>
      <c r="G7" s="4">
        <f>IF(A7="","",VLOOKUP(A7,Base_Donnees!A:F,4,FALSE))</f>
        <v>6</v>
      </c>
      <c r="H7" s="3" t="str">
        <f>IF(A7="","",VLOOKUP(A7,Base_Donnees!A:F,5,FALSE))</f>
        <v>CRITIQUE : Isoler totalement des Sulfates/Phosphates.</v>
      </c>
    </row>
    <row r="8" spans="1:8" ht="22.15" customHeight="1" x14ac:dyDescent="0.35">
      <c r="A8" s="16" t="s">
        <v>34</v>
      </c>
      <c r="B8" s="9">
        <v>2</v>
      </c>
      <c r="C8" s="10">
        <f>IF(A8="","",B8*$B$2)</f>
        <v>8</v>
      </c>
      <c r="D8" s="11">
        <f>IF(A8="","",VLOOKUP(A8,Base_Donnees!A:F,6,FALSE))</f>
        <v>378.15</v>
      </c>
      <c r="E8" s="11">
        <f>IF(A8="","",C8*D8)</f>
        <v>3025.2</v>
      </c>
      <c r="F8" s="12">
        <f>IF(A8="","",IF(VLOOKUP(A8,Base_Donnees!A:F,3,FALSE)&gt;4000,0,ROUNDUP((C8*1000/VLOOKUP(A8,Base_Donnees!A:F,3,FALSE))*1.5,0)))</f>
        <v>0</v>
      </c>
      <c r="G8" s="9">
        <f>IF(A8="","",VLOOKUP(A8,Base_Donnees!A:F,4,FALSE))</f>
        <v>1</v>
      </c>
      <c r="H8" s="8" t="str">
        <f>IF(A8="","",VLOOKUP(A8,Base_Donnees!A:F,5,FALSE))</f>
        <v>CORROSIF : Gants + lunettes de protection obligatoires.</v>
      </c>
    </row>
    <row r="9" spans="1:8" ht="22.15" customHeight="1" x14ac:dyDescent="0.35">
      <c r="A9" s="15"/>
      <c r="B9" s="4"/>
      <c r="C9" s="5" t="str">
        <f>IF(A9="","",B9*$B$2)</f>
        <v/>
      </c>
      <c r="D9" s="6" t="str">
        <f>IF(A9="","",VLOOKUP(A9,Base_Donnees!A:F,6,FALSE))</f>
        <v/>
      </c>
      <c r="E9" s="6" t="str">
        <f>IF(A9="","",C9*D9)</f>
        <v/>
      </c>
      <c r="F9" s="7" t="str">
        <f>IF(A9="","",IF(VLOOKUP(A9,Base_Donnees!A:F,3,FALSE)&gt;4000,0,ROUNDUP((C9*1000/VLOOKUP(A9,Base_Donnees!A:F,3,FALSE))*1.5,0)))</f>
        <v/>
      </c>
      <c r="G9" s="4" t="str">
        <f>IF(A9="","",VLOOKUP(A9,Base_Donnees!A:F,4,FALSE))</f>
        <v/>
      </c>
      <c r="H9" s="3" t="str">
        <f>IF(A9="","",VLOOKUP(A9,Base_Donnees!A:F,5,FALSE))</f>
        <v/>
      </c>
    </row>
    <row r="10" spans="1:8" ht="15.5" x14ac:dyDescent="0.35">
      <c r="A10" s="19"/>
    </row>
    <row r="11" spans="1:8" ht="16.5" x14ac:dyDescent="0.35">
      <c r="A11" s="31" t="s">
        <v>12</v>
      </c>
      <c r="B11" s="25"/>
      <c r="C11" s="25"/>
      <c r="D11" s="25"/>
      <c r="E11" s="25"/>
      <c r="F11" s="25"/>
      <c r="G11" s="25"/>
      <c r="H11" s="25"/>
    </row>
    <row r="12" spans="1:8" ht="24" customHeight="1" x14ac:dyDescent="0.35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</row>
    <row r="13" spans="1:8" ht="22.15" customHeight="1" x14ac:dyDescent="0.35">
      <c r="A13" s="3" t="s">
        <v>37</v>
      </c>
      <c r="B13" s="4">
        <v>2</v>
      </c>
      <c r="C13" s="5">
        <f t="shared" ref="C13:C23" si="0">IF(A13="","",B13*$B$2)</f>
        <v>8</v>
      </c>
      <c r="D13" s="6">
        <f>IF(A13="","",VLOOKUP(A13,Base_Donnees!A:F,6,FALSE))</f>
        <v>378.15</v>
      </c>
      <c r="E13" s="6">
        <f t="shared" ref="E13:E23" si="1">IF(A13="","",C13*D13)</f>
        <v>3025.2</v>
      </c>
      <c r="F13" s="7">
        <f>IF(A13="","",IF(VLOOKUP(A13,Base_Donnees!A:F,3,FALSE)&gt;4000,0,ROUNDUP((C13*1000/VLOOKUP(A13,Base_Donnees!A:F,3,FALSE))*1.5,0)))</f>
        <v>115</v>
      </c>
      <c r="G13" s="4">
        <f>IF(A13="","",VLOOKUP(A13,Base_Donnees!A:F,4,FALSE))</f>
        <v>5</v>
      </c>
      <c r="H13" s="3" t="str">
        <f>IF(A13="","",VLOOKUP(A13,Base_Donnees!A:F,5,FALSE))</f>
        <v>Très soluble. Refroidit fortement l'eau (endothermique).</v>
      </c>
    </row>
    <row r="14" spans="1:8" ht="22.15" customHeight="1" x14ac:dyDescent="0.35">
      <c r="A14" s="8" t="s">
        <v>43</v>
      </c>
      <c r="B14" s="9">
        <v>3.5</v>
      </c>
      <c r="C14" s="10">
        <f t="shared" si="0"/>
        <v>14</v>
      </c>
      <c r="D14" s="11">
        <f>IF(A14="","",VLOOKUP(A14,Base_Donnees!A:F,6,FALSE))</f>
        <v>168.07</v>
      </c>
      <c r="E14" s="11">
        <f t="shared" si="1"/>
        <v>2352.98</v>
      </c>
      <c r="F14" s="12">
        <f>IF(A14="","",IF(VLOOKUP(A14,Base_Donnees!A:F,3,FALSE)&gt;4000,0,ROUNDUP((C14*1000/VLOOKUP(A14,Base_Donnees!A:F,3,FALSE))*1.5,0)))</f>
        <v>2100</v>
      </c>
      <c r="G14" s="9">
        <f>IF(A14="","",VLOOKUP(A14,Base_Donnees!A:F,4,FALSE))</f>
        <v>20</v>
      </c>
      <c r="H14" s="8" t="str">
        <f>IF(A14="","",VLOOKUP(A14,Base_Donnees!A:F,5,FALSE))</f>
        <v>Le plus difficile à dissoudre du marché. Risque de dépôt.</v>
      </c>
    </row>
    <row r="15" spans="1:8" ht="22.15" customHeight="1" x14ac:dyDescent="0.35">
      <c r="A15" s="3" t="s">
        <v>49</v>
      </c>
      <c r="B15" s="4">
        <v>1.5</v>
      </c>
      <c r="C15" s="5">
        <f t="shared" si="0"/>
        <v>6</v>
      </c>
      <c r="D15" s="6">
        <f>IF(A15="","",VLOOKUP(A15,Base_Donnees!A:F,6,FALSE))</f>
        <v>201.7</v>
      </c>
      <c r="E15" s="6">
        <f t="shared" si="1"/>
        <v>1210.1999999999998</v>
      </c>
      <c r="F15" s="7">
        <f>IF(A15="","",IF(VLOOKUP(A15,Base_Donnees!A:F,3,FALSE)&gt;4000,0,ROUNDUP((C15*1000/VLOOKUP(A15,Base_Donnees!A:F,3,FALSE))*1.5,0)))</f>
        <v>360</v>
      </c>
      <c r="G15" s="4">
        <f>IF(A15="","",VLOOKUP(A15,Base_Donnees!A:F,4,FALSE))</f>
        <v>12</v>
      </c>
      <c r="H15" s="3" t="str">
        <f>IF(A15="","",VLOOKUP(A15,Base_Donnees!A:F,5,FALSE))</f>
        <v>Sel d'Epsom. Parfaitement compatible dans le bloc B.</v>
      </c>
    </row>
    <row r="16" spans="1:8" ht="22.15" customHeight="1" x14ac:dyDescent="0.35">
      <c r="A16" s="8" t="s">
        <v>66</v>
      </c>
      <c r="B16" s="9">
        <v>2.5</v>
      </c>
      <c r="C16" s="10">
        <f t="shared" si="0"/>
        <v>10</v>
      </c>
      <c r="D16" s="11">
        <f>IF(A16="","",VLOOKUP(A16,Base_Donnees!A:F,6,FALSE))</f>
        <v>461.74</v>
      </c>
      <c r="E16" s="11">
        <f t="shared" si="1"/>
        <v>4617.3999999999996</v>
      </c>
      <c r="F16" s="12">
        <f>IF(A16="","",IF(VLOOKUP(A16,Base_Donnees!A:F,3,FALSE)&gt;4000,0,ROUNDUP((C16*1000/VLOOKUP(A16,Base_Donnees!A:F,3,FALSE))*1.5,0)))</f>
        <v>0</v>
      </c>
      <c r="G16" s="9">
        <f>IF(A16="","",VLOOKUP(A16,Base_Donnees!A:F,4,FALSE))</f>
        <v>1</v>
      </c>
      <c r="H16" s="8" t="str">
        <f>IF(A16="","",VLOOKUP(A16,Base_Donnees!A:F,5,FALSE))</f>
        <v>Sécurité : Toujours verser l'acide dans l'eau.</v>
      </c>
    </row>
    <row r="17" spans="1:8" ht="22.15" customHeight="1" x14ac:dyDescent="0.35">
      <c r="A17" s="3"/>
      <c r="B17" s="4"/>
      <c r="C17" s="5" t="str">
        <f t="shared" si="0"/>
        <v/>
      </c>
      <c r="D17" s="6" t="str">
        <f>IF(A17="","",VLOOKUP(A17,Base_Donnees!A:F,6,FALSE))</f>
        <v/>
      </c>
      <c r="E17" s="6" t="str">
        <f t="shared" si="1"/>
        <v/>
      </c>
      <c r="F17" s="7" t="str">
        <f>IF(A17="","",IF(VLOOKUP(A17,Base_Donnees!A:F,3,FALSE)&gt;4000,0,ROUNDUP((C17*1000/VLOOKUP(A17,Base_Donnees!A:F,3,FALSE))*1.5,0)))</f>
        <v/>
      </c>
      <c r="G17" s="4" t="str">
        <f>IF(A17="","",VLOOKUP(A17,Base_Donnees!A:F,4,FALSE))</f>
        <v/>
      </c>
      <c r="H17" s="3" t="str">
        <f>IF(A17="","",VLOOKUP(A17,Base_Donnees!A:F,5,FALSE))</f>
        <v/>
      </c>
    </row>
    <row r="18" spans="1:8" ht="22.15" customHeight="1" x14ac:dyDescent="0.35">
      <c r="A18" s="8"/>
      <c r="B18" s="9"/>
      <c r="C18" s="10" t="str">
        <f t="shared" si="0"/>
        <v/>
      </c>
      <c r="D18" s="11" t="str">
        <f>IF(A18="","",VLOOKUP(A18,Base_Donnees!A:F,6,FALSE))</f>
        <v/>
      </c>
      <c r="E18" s="11" t="str">
        <f t="shared" si="1"/>
        <v/>
      </c>
      <c r="F18" s="12" t="str">
        <f>IF(A18="","",IF(VLOOKUP(A18,Base_Donnees!A:F,3,FALSE)&gt;4000,0,ROUNDUP((C18*1000/VLOOKUP(A18,Base_Donnees!A:F,3,FALSE))*1.5,0)))</f>
        <v/>
      </c>
      <c r="G18" s="9" t="str">
        <f>IF(A18="","",VLOOKUP(A18,Base_Donnees!A:F,4,FALSE))</f>
        <v/>
      </c>
      <c r="H18" s="8" t="str">
        <f>IF(A18="","",VLOOKUP(A18,Base_Donnees!A:F,5,FALSE))</f>
        <v/>
      </c>
    </row>
    <row r="19" spans="1:8" ht="22.15" customHeight="1" x14ac:dyDescent="0.35">
      <c r="A19" s="3"/>
      <c r="B19" s="4"/>
      <c r="C19" s="5" t="str">
        <f t="shared" si="0"/>
        <v/>
      </c>
      <c r="D19" s="6" t="str">
        <f>IF(A19="","",VLOOKUP(A19,Base_Donnees!A:F,6,FALSE))</f>
        <v/>
      </c>
      <c r="E19" s="6" t="str">
        <f t="shared" si="1"/>
        <v/>
      </c>
      <c r="F19" s="7" t="str">
        <f>IF(A19="","",IF(VLOOKUP(A19,Base_Donnees!A:F,3,FALSE)&gt;4000,0,ROUNDUP((C19*1000/VLOOKUP(A19,Base_Donnees!A:F,3,FALSE))*1.5,0)))</f>
        <v/>
      </c>
      <c r="G19" s="4" t="str">
        <f>IF(A19="","",VLOOKUP(A19,Base_Donnees!A:F,4,FALSE))</f>
        <v/>
      </c>
      <c r="H19" s="3" t="str">
        <f>IF(A19="","",VLOOKUP(A19,Base_Donnees!A:F,5,FALSE))</f>
        <v/>
      </c>
    </row>
    <row r="20" spans="1:8" ht="22.15" customHeight="1" x14ac:dyDescent="0.35">
      <c r="A20" s="8"/>
      <c r="B20" s="9"/>
      <c r="C20" s="10" t="str">
        <f t="shared" si="0"/>
        <v/>
      </c>
      <c r="D20" s="11" t="str">
        <f>IF(A20="","",VLOOKUP(A20,Base_Donnees!A:F,6,FALSE))</f>
        <v/>
      </c>
      <c r="E20" s="11" t="str">
        <f t="shared" si="1"/>
        <v/>
      </c>
      <c r="F20" s="12" t="str">
        <f>IF(A20="","",IF(VLOOKUP(A20,Base_Donnees!A:F,3,FALSE)&gt;4000,0,ROUNDUP((C20*1000/VLOOKUP(A20,Base_Donnees!A:F,3,FALSE))*1.5,0)))</f>
        <v/>
      </c>
      <c r="G20" s="9" t="str">
        <f>IF(A20="","",VLOOKUP(A20,Base_Donnees!A:F,4,FALSE))</f>
        <v/>
      </c>
      <c r="H20" s="8" t="str">
        <f>IF(A20="","",VLOOKUP(A20,Base_Donnees!A:F,5,FALSE))</f>
        <v/>
      </c>
    </row>
    <row r="21" spans="1:8" ht="22.15" customHeight="1" x14ac:dyDescent="0.35">
      <c r="A21" s="3"/>
      <c r="B21" s="4"/>
      <c r="C21" s="5" t="str">
        <f t="shared" si="0"/>
        <v/>
      </c>
      <c r="D21" s="6" t="str">
        <f>IF(A21="","",VLOOKUP(A21,Base_Donnees!A:F,6,FALSE))</f>
        <v/>
      </c>
      <c r="E21" s="6" t="str">
        <f t="shared" si="1"/>
        <v/>
      </c>
      <c r="F21" s="7" t="str">
        <f>IF(A21="","",IF(VLOOKUP(A21,Base_Donnees!A:F,3,FALSE)&gt;4000,0,ROUNDUP((C21*1000/VLOOKUP(A21,Base_Donnees!A:F,3,FALSE))*1.5,0)))</f>
        <v/>
      </c>
      <c r="G21" s="4" t="str">
        <f>IF(A21="","",VLOOKUP(A21,Base_Donnees!A:F,4,FALSE))</f>
        <v/>
      </c>
      <c r="H21" s="3" t="str">
        <f>IF(A21="","",VLOOKUP(A21,Base_Donnees!A:F,5,FALSE))</f>
        <v/>
      </c>
    </row>
    <row r="22" spans="1:8" ht="22.15" customHeight="1" x14ac:dyDescent="0.35">
      <c r="A22" s="8"/>
      <c r="B22" s="9"/>
      <c r="C22" s="10" t="str">
        <f t="shared" si="0"/>
        <v/>
      </c>
      <c r="D22" s="11" t="str">
        <f>IF(A22="","",VLOOKUP(A22,Base_Donnees!A:F,6,FALSE))</f>
        <v/>
      </c>
      <c r="E22" s="11" t="str">
        <f t="shared" si="1"/>
        <v/>
      </c>
      <c r="F22" s="12" t="str">
        <f>IF(A22="","",IF(VLOOKUP(A22,Base_Donnees!A:F,3,FALSE)&gt;4000,0,ROUNDUP((C22*1000/VLOOKUP(A22,Base_Donnees!A:F,3,FALSE))*1.5,0)))</f>
        <v/>
      </c>
      <c r="G22" s="9" t="str">
        <f>IF(A22="","",VLOOKUP(A22,Base_Donnees!A:F,4,FALSE))</f>
        <v/>
      </c>
      <c r="H22" s="8" t="str">
        <f>IF(A22="","",VLOOKUP(A22,Base_Donnees!A:F,5,FALSE))</f>
        <v/>
      </c>
    </row>
    <row r="23" spans="1:8" ht="22.15" customHeight="1" x14ac:dyDescent="0.35">
      <c r="A23" s="3"/>
      <c r="B23" s="4"/>
      <c r="C23" s="5" t="str">
        <f t="shared" si="0"/>
        <v/>
      </c>
      <c r="D23" s="6" t="str">
        <f>IF(A23="","",VLOOKUP(A23,Base_Donnees!A:F,6,FALSE))</f>
        <v/>
      </c>
      <c r="E23" s="6" t="str">
        <f t="shared" si="1"/>
        <v/>
      </c>
      <c r="F23" s="7" t="str">
        <f>IF(A23="","",IF(VLOOKUP(A23,Base_Donnees!A:F,3,FALSE)&gt;4000,0,ROUNDUP((C23*1000/VLOOKUP(A23,Base_Donnees!A:F,3,FALSE))*1.5,0)))</f>
        <v/>
      </c>
      <c r="G23" s="4" t="str">
        <f>IF(A23="","",VLOOKUP(A23,Base_Donnees!A:F,4,FALSE))</f>
        <v/>
      </c>
      <c r="H23" s="3" t="str">
        <f>IF(A23="","",VLOOKUP(A23,Base_Donnees!A:F,5,FALSE))</f>
        <v/>
      </c>
    </row>
    <row r="25" spans="1:8" ht="16.5" x14ac:dyDescent="0.35">
      <c r="A25" s="32" t="s">
        <v>13</v>
      </c>
      <c r="B25" s="25"/>
      <c r="C25" s="25"/>
      <c r="D25" s="25"/>
      <c r="E25" s="25"/>
      <c r="F25" s="25"/>
      <c r="G25" s="25"/>
      <c r="H25" s="25"/>
    </row>
    <row r="26" spans="1:8" ht="24" customHeight="1" x14ac:dyDescent="0.35">
      <c r="A26" s="2" t="s">
        <v>4</v>
      </c>
      <c r="B26" s="2" t="s">
        <v>5</v>
      </c>
      <c r="C26" s="2" t="s">
        <v>6</v>
      </c>
      <c r="D26" s="2" t="s">
        <v>7</v>
      </c>
      <c r="E26" s="2" t="s">
        <v>8</v>
      </c>
      <c r="F26" s="2" t="s">
        <v>9</v>
      </c>
      <c r="G26" s="2" t="s">
        <v>10</v>
      </c>
      <c r="H26" s="2" t="s">
        <v>11</v>
      </c>
    </row>
    <row r="27" spans="1:8" ht="22.15" customHeight="1" x14ac:dyDescent="0.35">
      <c r="A27" s="3"/>
      <c r="B27" s="4"/>
      <c r="C27" s="5" t="str">
        <f>IF(A27="","",B27*$B$2)</f>
        <v/>
      </c>
      <c r="D27" s="6" t="str">
        <f>IF(A27="","",VLOOKUP(A27,Base_Donnees!A:F,6,FALSE))</f>
        <v/>
      </c>
      <c r="E27" s="6" t="str">
        <f>IF(A27="","",C27*D27)</f>
        <v/>
      </c>
      <c r="F27" s="7" t="str">
        <f>IF(A27="","",IF(VLOOKUP(A27,Base_Donnees!A:F,3,FALSE)&gt;4000,0,ROUNDUP((C27*1000/VLOOKUP(A27,Base_Donnees!A:F,3,FALSE))*1.5,0)))</f>
        <v/>
      </c>
      <c r="G27" s="4" t="str">
        <f>IF(A27="","",VLOOKUP(A27,Base_Donnees!A:F,4,FALSE))</f>
        <v/>
      </c>
      <c r="H27" s="3" t="str">
        <f>IF(A27="","",VLOOKUP(A27,Base_Donnees!A:F,5,FALSE))</f>
        <v/>
      </c>
    </row>
    <row r="28" spans="1:8" ht="22.15" customHeight="1" x14ac:dyDescent="0.35">
      <c r="A28" s="8"/>
      <c r="B28" s="9"/>
      <c r="C28" s="10" t="str">
        <f>IF(A28="","",B28*$B$2)</f>
        <v/>
      </c>
      <c r="D28" s="11" t="str">
        <f>IF(A28="","",VLOOKUP(A28,Base_Donnees!A:F,6,FALSE))</f>
        <v/>
      </c>
      <c r="E28" s="11" t="str">
        <f>IF(A28="","",C28*D28)</f>
        <v/>
      </c>
      <c r="F28" s="12" t="str">
        <f>IF(A28="","",IF(VLOOKUP(A28,Base_Donnees!A:F,3,FALSE)&gt;4000,0,ROUNDUP((C28*1000/VLOOKUP(A28,Base_Donnees!A:F,3,FALSE))*1.5,0)))</f>
        <v/>
      </c>
      <c r="G28" s="9" t="str">
        <f>IF(A28="","",VLOOKUP(A28,Base_Donnees!A:F,4,FALSE))</f>
        <v/>
      </c>
      <c r="H28" s="8" t="str">
        <f>IF(A28="","",VLOOKUP(A28,Base_Donnees!A:F,5,FALSE))</f>
        <v/>
      </c>
    </row>
    <row r="29" spans="1:8" ht="22.15" customHeight="1" x14ac:dyDescent="0.35">
      <c r="A29" s="3"/>
      <c r="B29" s="4"/>
      <c r="C29" s="5" t="str">
        <f>IF(A29="","",B29*$B$2)</f>
        <v/>
      </c>
      <c r="D29" s="6" t="str">
        <f>IF(A29="","",VLOOKUP(A29,Base_Donnees!A:F,6,FALSE))</f>
        <v/>
      </c>
      <c r="E29" s="6" t="str">
        <f>IF(A29="","",C29*D29)</f>
        <v/>
      </c>
      <c r="F29" s="7" t="str">
        <f>IF(A29="","",IF(VLOOKUP(A29,Base_Donnees!A:F,3,FALSE)&gt;4000,0,ROUNDUP((C29*1000/VLOOKUP(A29,Base_Donnees!A:F,3,FALSE))*1.5,0)))</f>
        <v/>
      </c>
      <c r="G29" s="4" t="str">
        <f>IF(A29="","",VLOOKUP(A29,Base_Donnees!A:F,4,FALSE))</f>
        <v/>
      </c>
      <c r="H29" s="3" t="str">
        <f>IF(A29="","",VLOOKUP(A29,Base_Donnees!A:F,5,FALSE))</f>
        <v/>
      </c>
    </row>
    <row r="31" spans="1:8" ht="16.5" x14ac:dyDescent="0.35">
      <c r="A31" s="33" t="s">
        <v>14</v>
      </c>
      <c r="B31" s="25"/>
      <c r="C31" s="25"/>
      <c r="D31" s="25"/>
      <c r="E31" s="25"/>
      <c r="F31" s="25"/>
      <c r="G31" s="25"/>
      <c r="H31" s="25"/>
    </row>
    <row r="32" spans="1:8" ht="24" customHeight="1" x14ac:dyDescent="0.35">
      <c r="A32" s="2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</row>
    <row r="33" spans="1:8" ht="22.15" customHeight="1" x14ac:dyDescent="0.35">
      <c r="A33" s="3"/>
      <c r="B33" s="4"/>
      <c r="C33" s="5" t="str">
        <f>IF(A33="","",B33*$B$2)</f>
        <v/>
      </c>
      <c r="D33" s="6" t="str">
        <f>IF(A33="","",VLOOKUP(A33,Base_Donnees!A:F,6,FALSE))</f>
        <v/>
      </c>
      <c r="E33" s="6" t="str">
        <f>IF(A33="","",C33*D33)</f>
        <v/>
      </c>
      <c r="F33" s="7" t="str">
        <f>IF(A33="","",IF(VLOOKUP(A33,Base_Donnees!A:F,3,FALSE)&gt;4000,0,ROUNDUP((C33*1000/VLOOKUP(A33,Base_Donnees!A:F,3,FALSE))*1.5,0)))</f>
        <v/>
      </c>
      <c r="G33" s="4" t="str">
        <f>IF(A33="","",VLOOKUP(A33,Base_Donnees!A:F,4,FALSE))</f>
        <v/>
      </c>
      <c r="H33" s="3" t="str">
        <f>IF(A33="","",VLOOKUP(A33,Base_Donnees!A:F,5,FALSE))</f>
        <v/>
      </c>
    </row>
    <row r="34" spans="1:8" ht="22.15" customHeight="1" x14ac:dyDescent="0.35">
      <c r="A34" s="8"/>
      <c r="B34" s="9"/>
      <c r="C34" s="10" t="str">
        <f>IF(A34="","",B34*$B$2)</f>
        <v/>
      </c>
      <c r="D34" s="11" t="str">
        <f>IF(A34="","",VLOOKUP(A34,Base_Donnees!A:F,6,FALSE))</f>
        <v/>
      </c>
      <c r="E34" s="11" t="str">
        <f>IF(A34="","",C34*D34)</f>
        <v/>
      </c>
      <c r="F34" s="12" t="str">
        <f>IF(A34="","",IF(VLOOKUP(A34,Base_Donnees!A:F,3,FALSE)&gt;4000,0,ROUNDUP((C34*1000/VLOOKUP(A34,Base_Donnees!A:F,3,FALSE))*1.5,0)))</f>
        <v/>
      </c>
      <c r="G34" s="9" t="str">
        <f>IF(A34="","",VLOOKUP(A34,Base_Donnees!A:F,4,FALSE))</f>
        <v/>
      </c>
      <c r="H34" s="8" t="str">
        <f>IF(A34="","",VLOOKUP(A34,Base_Donnees!A:F,5,FALSE))</f>
        <v/>
      </c>
    </row>
    <row r="35" spans="1:8" ht="22.15" customHeight="1" x14ac:dyDescent="0.35">
      <c r="A35" s="3"/>
      <c r="B35" s="4"/>
      <c r="C35" s="5" t="str">
        <f>IF(A35="","",B35*$B$2)</f>
        <v/>
      </c>
      <c r="D35" s="6" t="str">
        <f>IF(A35="","",VLOOKUP(A35,Base_Donnees!A:F,6,FALSE))</f>
        <v/>
      </c>
      <c r="E35" s="6" t="str">
        <f>IF(A35="","",C35*D35)</f>
        <v/>
      </c>
      <c r="F35" s="7" t="str">
        <f>IF(A35="","",IF(VLOOKUP(A35,Base_Donnees!A:F,3,FALSE)&gt;4000,0,ROUNDUP((C35*1000/VLOOKUP(A35,Base_Donnees!A:F,3,FALSE))*1.5,0)))</f>
        <v/>
      </c>
      <c r="G35" s="4" t="str">
        <f>IF(A35="","",VLOOKUP(A35,Base_Donnees!A:F,4,FALSE))</f>
        <v/>
      </c>
      <c r="H35" s="3" t="str">
        <f>IF(A35="","",VLOOKUP(A35,Base_Donnees!A:F,5,FALSE))</f>
        <v/>
      </c>
    </row>
    <row r="38" spans="1:8" ht="16" x14ac:dyDescent="0.35">
      <c r="A38" s="24" t="s">
        <v>15</v>
      </c>
      <c r="B38" s="25"/>
      <c r="C38" s="25"/>
      <c r="D38" s="25"/>
      <c r="E38" s="25"/>
      <c r="F38" s="25"/>
    </row>
    <row r="39" spans="1:8" ht="30" customHeight="1" x14ac:dyDescent="0.35">
      <c r="A39" s="13" t="s">
        <v>16</v>
      </c>
      <c r="B39" s="13" t="s">
        <v>17</v>
      </c>
      <c r="C39" s="13" t="s">
        <v>18</v>
      </c>
      <c r="D39" s="13" t="s">
        <v>19</v>
      </c>
      <c r="E39" s="13" t="s">
        <v>20</v>
      </c>
      <c r="F39" s="13" t="s">
        <v>21</v>
      </c>
    </row>
    <row r="40" spans="1:8" ht="22.15" customHeight="1" x14ac:dyDescent="0.35">
      <c r="A40" s="4" t="s">
        <v>22</v>
      </c>
      <c r="B40" s="7">
        <f>SUM(F7:F9)</f>
        <v>175</v>
      </c>
      <c r="C40" s="7">
        <f>B40+SUM(C7:C9)*0.6</f>
        <v>188.2</v>
      </c>
      <c r="D40" s="4" t="str">
        <f>IF(C40&gt;1000,"TROP PLEIN !","OK")</f>
        <v>OK</v>
      </c>
      <c r="E40" s="4">
        <f>IF(B40=0,0,MAX(G7:G9))</f>
        <v>6</v>
      </c>
      <c r="F40" s="6">
        <f>SUM(E7:E9)</f>
        <v>4907.5</v>
      </c>
    </row>
    <row r="41" spans="1:8" ht="22.15" customHeight="1" x14ac:dyDescent="0.35">
      <c r="A41" s="4" t="s">
        <v>23</v>
      </c>
      <c r="B41" s="7">
        <f>SUM(F13:F23)</f>
        <v>2575</v>
      </c>
      <c r="C41" s="7">
        <f>B41+SUM(C13:C23)*0.6</f>
        <v>2597.8000000000002</v>
      </c>
      <c r="D41" s="4" t="str">
        <f>IF(C41&gt;1000,"TROP PLEIN !","OK")</f>
        <v>TROP PLEIN !</v>
      </c>
      <c r="E41" s="4">
        <f>IF(B41=0,0,MAX(G13:G23))</f>
        <v>20</v>
      </c>
      <c r="F41" s="6">
        <f>SUM(E13:E23)</f>
        <v>11205.779999999999</v>
      </c>
    </row>
    <row r="42" spans="1:8" ht="22.15" customHeight="1" x14ac:dyDescent="0.35">
      <c r="A42" s="4" t="s">
        <v>24</v>
      </c>
      <c r="B42" s="7">
        <f>SUM(F27:F29)</f>
        <v>0</v>
      </c>
      <c r="C42" s="7">
        <f>B42+SUM(C27:C29)*0.6</f>
        <v>0</v>
      </c>
      <c r="D42" s="4" t="str">
        <f>IF(C42&gt;1000,"TROP PLEIN !","OK")</f>
        <v>OK</v>
      </c>
      <c r="E42" s="4">
        <f>IF(B42=0,0,MAX(G27:G29))</f>
        <v>0</v>
      </c>
      <c r="F42" s="6">
        <f>SUM(E27:E29)</f>
        <v>0</v>
      </c>
    </row>
    <row r="43" spans="1:8" ht="22.15" customHeight="1" x14ac:dyDescent="0.35">
      <c r="A43" s="4" t="s">
        <v>25</v>
      </c>
      <c r="B43" s="7">
        <f>SUM(F33:F35)</f>
        <v>0</v>
      </c>
      <c r="C43" s="7">
        <f>B43+SUM(C33:C35)*0.6</f>
        <v>0</v>
      </c>
      <c r="D43" s="4" t="str">
        <f>IF(C43&gt;1000,"TROP PLEIN !","OK")</f>
        <v>OK</v>
      </c>
      <c r="E43" s="4">
        <f>IF(B43=0,0,MAX(G33:G35))</f>
        <v>0</v>
      </c>
      <c r="F43" s="6">
        <f>SUM(E33:E35)</f>
        <v>0</v>
      </c>
    </row>
    <row r="44" spans="1:8" x14ac:dyDescent="0.35">
      <c r="F44" s="26">
        <f>SUM(F40:F43)*E3</f>
        <v>16113.279999999999</v>
      </c>
      <c r="G44" s="25"/>
      <c r="H44" s="25"/>
    </row>
    <row r="45" spans="1:8" x14ac:dyDescent="0.35">
      <c r="F45" s="25"/>
      <c r="G45" s="25"/>
      <c r="H45" s="25"/>
    </row>
  </sheetData>
  <mergeCells count="8">
    <mergeCell ref="A1:E1"/>
    <mergeCell ref="F1:H1"/>
    <mergeCell ref="A38:F38"/>
    <mergeCell ref="A25:H25"/>
    <mergeCell ref="F44:H45"/>
    <mergeCell ref="A11:H11"/>
    <mergeCell ref="A5:H5"/>
    <mergeCell ref="A31:H3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Base_Donnees!$A$2:$A$3</xm:f>
          </x14:formula1>
          <xm:sqref>A7:A9</xm:sqref>
        </x14:dataValidation>
        <x14:dataValidation type="list" allowBlank="1" xr:uid="{00000000-0002-0000-0000-000001000000}">
          <x14:formula1>
            <xm:f>Base_Donnees!$A$4:$A$14</xm:f>
          </x14:formula1>
          <xm:sqref>A13:A23</xm:sqref>
        </x14:dataValidation>
        <x14:dataValidation type="list" allowBlank="1" xr:uid="{00000000-0002-0000-0000-000002000000}">
          <x14:formula1>
            <xm:f>Base_Donnees!$A$15:$A$17</xm:f>
          </x14:formula1>
          <xm:sqref>A27:A29</xm:sqref>
        </x14:dataValidation>
        <x14:dataValidation type="list" allowBlank="1" xr:uid="{00000000-0002-0000-0000-000003000000}">
          <x14:formula1>
            <xm:f>Base_Donnees!$A$18:$A$19</xm:f>
          </x14:formula1>
          <xm:sqref>A33:A35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D688-0E4A-49AA-835C-6D28EE2B4585}">
  <dimension ref="A1:H45"/>
  <sheetViews>
    <sheetView workbookViewId="0">
      <selection activeCell="E7" sqref="E7"/>
    </sheetView>
  </sheetViews>
  <sheetFormatPr baseColWidth="10" defaultColWidth="8.90625" defaultRowHeight="14.5" x14ac:dyDescent="0.35"/>
  <cols>
    <col min="1" max="1" width="39.6328125" style="17" customWidth="1"/>
    <col min="2" max="2" width="15.453125" style="17" customWidth="1"/>
    <col min="3" max="3" width="14.26953125" style="17" customWidth="1"/>
    <col min="4" max="4" width="14.54296875" style="17" customWidth="1"/>
    <col min="5" max="5" width="14.90625" style="17" customWidth="1"/>
    <col min="6" max="6" width="13.26953125" style="17" customWidth="1"/>
    <col min="7" max="7" width="14.36328125" style="17" customWidth="1"/>
    <col min="8" max="8" width="68.1796875" style="17" customWidth="1"/>
    <col min="9" max="9" width="16" style="17" customWidth="1"/>
    <col min="10" max="16384" width="8.90625" style="17"/>
  </cols>
  <sheetData>
    <row r="1" spans="1:8" ht="30" customHeight="1" x14ac:dyDescent="0.35">
      <c r="A1" s="27" t="s">
        <v>0</v>
      </c>
      <c r="B1" s="27"/>
      <c r="C1" s="27"/>
      <c r="D1" s="27"/>
      <c r="E1" s="27"/>
      <c r="F1" s="28">
        <f>F44</f>
        <v>2308.6999999999998</v>
      </c>
      <c r="G1" s="29"/>
      <c r="H1" s="29"/>
    </row>
    <row r="2" spans="1:8" ht="16" x14ac:dyDescent="0.35">
      <c r="A2" s="18" t="s">
        <v>1</v>
      </c>
      <c r="B2" s="1">
        <v>2</v>
      </c>
      <c r="D2" s="23" t="s">
        <v>84</v>
      </c>
      <c r="E2" s="22" t="s">
        <v>87</v>
      </c>
    </row>
    <row r="3" spans="1:8" ht="16" x14ac:dyDescent="0.35">
      <c r="A3" s="18" t="s">
        <v>2</v>
      </c>
      <c r="B3" s="20">
        <v>46090</v>
      </c>
      <c r="D3" s="23" t="s">
        <v>86</v>
      </c>
      <c r="E3" s="21">
        <v>1</v>
      </c>
    </row>
    <row r="5" spans="1:8" ht="16.5" x14ac:dyDescent="0.35">
      <c r="A5" s="30" t="s">
        <v>3</v>
      </c>
      <c r="B5" s="25"/>
      <c r="C5" s="25"/>
      <c r="D5" s="25"/>
      <c r="E5" s="25"/>
      <c r="F5" s="25"/>
      <c r="G5" s="25"/>
      <c r="H5" s="25"/>
    </row>
    <row r="6" spans="1:8" ht="24" customHeight="1" x14ac:dyDescent="0.3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</row>
    <row r="7" spans="1:8" ht="22.15" customHeight="1" x14ac:dyDescent="0.35">
      <c r="A7" s="15"/>
      <c r="B7" s="4"/>
      <c r="C7" s="5" t="str">
        <f>IF(A7="","",B7*$B$2)</f>
        <v/>
      </c>
      <c r="D7" s="6" t="str">
        <f>IF(A7="","",VLOOKUP(A7,Base_Donnees!A:F,6,FALSE))</f>
        <v/>
      </c>
      <c r="E7" s="6" t="str">
        <f>IF(A7="","",C7*D7)</f>
        <v/>
      </c>
      <c r="F7" s="7" t="str">
        <f>IF(A7="","",IF(VLOOKUP(A7,Base_Donnees!A:F,3,FALSE)&gt;4000,0,ROUNDUP((C7*1000/VLOOKUP(A7,Base_Donnees!A:F,3,FALSE))*1.5,0)))</f>
        <v/>
      </c>
      <c r="G7" s="4" t="str">
        <f>IF(A7="","",VLOOKUP(A7,Base_Donnees!A:F,4,FALSE))</f>
        <v/>
      </c>
      <c r="H7" s="3" t="str">
        <f>IF(A7="","",VLOOKUP(A7,Base_Donnees!A:F,5,FALSE))</f>
        <v/>
      </c>
    </row>
    <row r="8" spans="1:8" ht="22.15" customHeight="1" x14ac:dyDescent="0.35">
      <c r="A8" s="16"/>
      <c r="B8" s="9"/>
      <c r="C8" s="10" t="str">
        <f>IF(A8="","",B8*$B$2)</f>
        <v/>
      </c>
      <c r="D8" s="11" t="str">
        <f>IF(A8="","",VLOOKUP(A8,Base_Donnees!A:F,6,FALSE))</f>
        <v/>
      </c>
      <c r="E8" s="11" t="str">
        <f>IF(A8="","",C8*D8)</f>
        <v/>
      </c>
      <c r="F8" s="12" t="str">
        <f>IF(A8="","",IF(VLOOKUP(A8,Base_Donnees!A:F,3,FALSE)&gt;4000,0,ROUNDUP((C8*1000/VLOOKUP(A8,Base_Donnees!A:F,3,FALSE))*1.5,0)))</f>
        <v/>
      </c>
      <c r="G8" s="9" t="str">
        <f>IF(A8="","",VLOOKUP(A8,Base_Donnees!A:F,4,FALSE))</f>
        <v/>
      </c>
      <c r="H8" s="8" t="str">
        <f>IF(A8="","",VLOOKUP(A8,Base_Donnees!A:F,5,FALSE))</f>
        <v/>
      </c>
    </row>
    <row r="9" spans="1:8" ht="22.15" customHeight="1" x14ac:dyDescent="0.35">
      <c r="A9" s="15"/>
      <c r="B9" s="4"/>
      <c r="C9" s="5" t="str">
        <f>IF(A9="","",B9*$B$2)</f>
        <v/>
      </c>
      <c r="D9" s="6" t="str">
        <f>IF(A9="","",VLOOKUP(A9,Base_Donnees!A:F,6,FALSE))</f>
        <v/>
      </c>
      <c r="E9" s="6" t="str">
        <f>IF(A9="","",C9*D9)</f>
        <v/>
      </c>
      <c r="F9" s="7" t="str">
        <f>IF(A9="","",IF(VLOOKUP(A9,Base_Donnees!A:F,3,FALSE)&gt;4000,0,ROUNDUP((C9*1000/VLOOKUP(A9,Base_Donnees!A:F,3,FALSE))*1.5,0)))</f>
        <v/>
      </c>
      <c r="G9" s="4" t="str">
        <f>IF(A9="","",VLOOKUP(A9,Base_Donnees!A:F,4,FALSE))</f>
        <v/>
      </c>
      <c r="H9" s="3" t="str">
        <f>IF(A9="","",VLOOKUP(A9,Base_Donnees!A:F,5,FALSE))</f>
        <v/>
      </c>
    </row>
    <row r="10" spans="1:8" ht="15.5" x14ac:dyDescent="0.35">
      <c r="A10" s="19"/>
    </row>
    <row r="11" spans="1:8" ht="16.5" x14ac:dyDescent="0.35">
      <c r="A11" s="31" t="s">
        <v>12</v>
      </c>
      <c r="B11" s="25"/>
      <c r="C11" s="25"/>
      <c r="D11" s="25"/>
      <c r="E11" s="25"/>
      <c r="F11" s="25"/>
      <c r="G11" s="25"/>
      <c r="H11" s="25"/>
    </row>
    <row r="12" spans="1:8" ht="24" customHeight="1" x14ac:dyDescent="0.35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</row>
    <row r="13" spans="1:8" ht="22.15" customHeight="1" x14ac:dyDescent="0.35">
      <c r="A13" s="3" t="s">
        <v>66</v>
      </c>
      <c r="B13" s="4">
        <v>2.5</v>
      </c>
      <c r="C13" s="5">
        <f t="shared" ref="C13:C23" si="0">IF(A13="","",B13*$B$2)</f>
        <v>5</v>
      </c>
      <c r="D13" s="6">
        <f>IF(A13="","",VLOOKUP(A13,Base_Donnees!A:F,6,FALSE))</f>
        <v>461.74</v>
      </c>
      <c r="E13" s="6">
        <f t="shared" ref="E13:E23" si="1">IF(A13="","",C13*D13)</f>
        <v>2308.6999999999998</v>
      </c>
      <c r="F13" s="7">
        <f>IF(A13="","",IF(VLOOKUP(A13,Base_Donnees!A:F,3,FALSE)&gt;4000,0,ROUNDUP((C13*1000/VLOOKUP(A13,Base_Donnees!A:F,3,FALSE))*1.5,0)))</f>
        <v>0</v>
      </c>
      <c r="G13" s="4">
        <f>IF(A13="","",VLOOKUP(A13,Base_Donnees!A:F,4,FALSE))</f>
        <v>1</v>
      </c>
      <c r="H13" s="3" t="str">
        <f>IF(A13="","",VLOOKUP(A13,Base_Donnees!A:F,5,FALSE))</f>
        <v>Sécurité : Toujours verser l'acide dans l'eau.</v>
      </c>
    </row>
    <row r="14" spans="1:8" ht="22.15" customHeight="1" x14ac:dyDescent="0.35">
      <c r="A14" s="8"/>
      <c r="B14" s="9"/>
      <c r="C14" s="10" t="str">
        <f t="shared" si="0"/>
        <v/>
      </c>
      <c r="D14" s="11" t="str">
        <f>IF(A14="","",VLOOKUP(A14,Base_Donnees!A:F,6,FALSE))</f>
        <v/>
      </c>
      <c r="E14" s="11" t="str">
        <f t="shared" si="1"/>
        <v/>
      </c>
      <c r="F14" s="12" t="str">
        <f>IF(A14="","",IF(VLOOKUP(A14,Base_Donnees!A:F,3,FALSE)&gt;4000,0,ROUNDUP((C14*1000/VLOOKUP(A14,Base_Donnees!A:F,3,FALSE))*1.5,0)))</f>
        <v/>
      </c>
      <c r="G14" s="9" t="str">
        <f>IF(A14="","",VLOOKUP(A14,Base_Donnees!A:F,4,FALSE))</f>
        <v/>
      </c>
      <c r="H14" s="8" t="str">
        <f>IF(A14="","",VLOOKUP(A14,Base_Donnees!A:F,5,FALSE))</f>
        <v/>
      </c>
    </row>
    <row r="15" spans="1:8" ht="22.15" customHeight="1" x14ac:dyDescent="0.35">
      <c r="A15" s="3"/>
      <c r="B15" s="4"/>
      <c r="C15" s="5" t="str">
        <f t="shared" si="0"/>
        <v/>
      </c>
      <c r="D15" s="6" t="str">
        <f>IF(A15="","",VLOOKUP(A15,Base_Donnees!A:F,6,FALSE))</f>
        <v/>
      </c>
      <c r="E15" s="6" t="str">
        <f t="shared" si="1"/>
        <v/>
      </c>
      <c r="F15" s="7" t="str">
        <f>IF(A15="","",IF(VLOOKUP(A15,Base_Donnees!A:F,3,FALSE)&gt;4000,0,ROUNDUP((C15*1000/VLOOKUP(A15,Base_Donnees!A:F,3,FALSE))*1.5,0)))</f>
        <v/>
      </c>
      <c r="G15" s="4" t="str">
        <f>IF(A15="","",VLOOKUP(A15,Base_Donnees!A:F,4,FALSE))</f>
        <v/>
      </c>
      <c r="H15" s="3" t="str">
        <f>IF(A15="","",VLOOKUP(A15,Base_Donnees!A:F,5,FALSE))</f>
        <v/>
      </c>
    </row>
    <row r="16" spans="1:8" ht="22.15" customHeight="1" x14ac:dyDescent="0.35">
      <c r="A16" s="8"/>
      <c r="B16" s="9"/>
      <c r="C16" s="10" t="str">
        <f t="shared" si="0"/>
        <v/>
      </c>
      <c r="D16" s="11" t="str">
        <f>IF(A16="","",VLOOKUP(A16,Base_Donnees!A:F,6,FALSE))</f>
        <v/>
      </c>
      <c r="E16" s="11" t="str">
        <f t="shared" si="1"/>
        <v/>
      </c>
      <c r="F16" s="12" t="str">
        <f>IF(A16="","",IF(VLOOKUP(A16,Base_Donnees!A:F,3,FALSE)&gt;4000,0,ROUNDUP((C16*1000/VLOOKUP(A16,Base_Donnees!A:F,3,FALSE))*1.5,0)))</f>
        <v/>
      </c>
      <c r="G16" s="9" t="str">
        <f>IF(A16="","",VLOOKUP(A16,Base_Donnees!A:F,4,FALSE))</f>
        <v/>
      </c>
      <c r="H16" s="8" t="str">
        <f>IF(A16="","",VLOOKUP(A16,Base_Donnees!A:F,5,FALSE))</f>
        <v/>
      </c>
    </row>
    <row r="17" spans="1:8" ht="22.15" customHeight="1" x14ac:dyDescent="0.35">
      <c r="A17" s="3"/>
      <c r="B17" s="4"/>
      <c r="C17" s="5" t="str">
        <f t="shared" si="0"/>
        <v/>
      </c>
      <c r="D17" s="6" t="str">
        <f>IF(A17="","",VLOOKUP(A17,Base_Donnees!A:F,6,FALSE))</f>
        <v/>
      </c>
      <c r="E17" s="6" t="str">
        <f t="shared" si="1"/>
        <v/>
      </c>
      <c r="F17" s="7" t="str">
        <f>IF(A17="","",IF(VLOOKUP(A17,Base_Donnees!A:F,3,FALSE)&gt;4000,0,ROUNDUP((C17*1000/VLOOKUP(A17,Base_Donnees!A:F,3,FALSE))*1.5,0)))</f>
        <v/>
      </c>
      <c r="G17" s="4" t="str">
        <f>IF(A17="","",VLOOKUP(A17,Base_Donnees!A:F,4,FALSE))</f>
        <v/>
      </c>
      <c r="H17" s="3" t="str">
        <f>IF(A17="","",VLOOKUP(A17,Base_Donnees!A:F,5,FALSE))</f>
        <v/>
      </c>
    </row>
    <row r="18" spans="1:8" ht="22.15" customHeight="1" x14ac:dyDescent="0.35">
      <c r="A18" s="8"/>
      <c r="B18" s="9"/>
      <c r="C18" s="10" t="str">
        <f t="shared" si="0"/>
        <v/>
      </c>
      <c r="D18" s="11" t="str">
        <f>IF(A18="","",VLOOKUP(A18,Base_Donnees!A:F,6,FALSE))</f>
        <v/>
      </c>
      <c r="E18" s="11" t="str">
        <f t="shared" si="1"/>
        <v/>
      </c>
      <c r="F18" s="12" t="str">
        <f>IF(A18="","",IF(VLOOKUP(A18,Base_Donnees!A:F,3,FALSE)&gt;4000,0,ROUNDUP((C18*1000/VLOOKUP(A18,Base_Donnees!A:F,3,FALSE))*1.5,0)))</f>
        <v/>
      </c>
      <c r="G18" s="9" t="str">
        <f>IF(A18="","",VLOOKUP(A18,Base_Donnees!A:F,4,FALSE))</f>
        <v/>
      </c>
      <c r="H18" s="8" t="str">
        <f>IF(A18="","",VLOOKUP(A18,Base_Donnees!A:F,5,FALSE))</f>
        <v/>
      </c>
    </row>
    <row r="19" spans="1:8" ht="22.15" customHeight="1" x14ac:dyDescent="0.35">
      <c r="A19" s="3"/>
      <c r="B19" s="4"/>
      <c r="C19" s="5" t="str">
        <f t="shared" si="0"/>
        <v/>
      </c>
      <c r="D19" s="6" t="str">
        <f>IF(A19="","",VLOOKUP(A19,Base_Donnees!A:F,6,FALSE))</f>
        <v/>
      </c>
      <c r="E19" s="6" t="str">
        <f t="shared" si="1"/>
        <v/>
      </c>
      <c r="F19" s="7" t="str">
        <f>IF(A19="","",IF(VLOOKUP(A19,Base_Donnees!A:F,3,FALSE)&gt;4000,0,ROUNDUP((C19*1000/VLOOKUP(A19,Base_Donnees!A:F,3,FALSE))*1.5,0)))</f>
        <v/>
      </c>
      <c r="G19" s="4" t="str">
        <f>IF(A19="","",VLOOKUP(A19,Base_Donnees!A:F,4,FALSE))</f>
        <v/>
      </c>
      <c r="H19" s="3" t="str">
        <f>IF(A19="","",VLOOKUP(A19,Base_Donnees!A:F,5,FALSE))</f>
        <v/>
      </c>
    </row>
    <row r="20" spans="1:8" ht="22.15" customHeight="1" x14ac:dyDescent="0.35">
      <c r="A20" s="8"/>
      <c r="B20" s="9"/>
      <c r="C20" s="10" t="str">
        <f t="shared" si="0"/>
        <v/>
      </c>
      <c r="D20" s="11" t="str">
        <f>IF(A20="","",VLOOKUP(A20,Base_Donnees!A:F,6,FALSE))</f>
        <v/>
      </c>
      <c r="E20" s="11" t="str">
        <f t="shared" si="1"/>
        <v/>
      </c>
      <c r="F20" s="12" t="str">
        <f>IF(A20="","",IF(VLOOKUP(A20,Base_Donnees!A:F,3,FALSE)&gt;4000,0,ROUNDUP((C20*1000/VLOOKUP(A20,Base_Donnees!A:F,3,FALSE))*1.5,0)))</f>
        <v/>
      </c>
      <c r="G20" s="9" t="str">
        <f>IF(A20="","",VLOOKUP(A20,Base_Donnees!A:F,4,FALSE))</f>
        <v/>
      </c>
      <c r="H20" s="8" t="str">
        <f>IF(A20="","",VLOOKUP(A20,Base_Donnees!A:F,5,FALSE))</f>
        <v/>
      </c>
    </row>
    <row r="21" spans="1:8" ht="22.15" customHeight="1" x14ac:dyDescent="0.35">
      <c r="A21" s="3"/>
      <c r="B21" s="4"/>
      <c r="C21" s="5" t="str">
        <f t="shared" si="0"/>
        <v/>
      </c>
      <c r="D21" s="6" t="str">
        <f>IF(A21="","",VLOOKUP(A21,Base_Donnees!A:F,6,FALSE))</f>
        <v/>
      </c>
      <c r="E21" s="6" t="str">
        <f t="shared" si="1"/>
        <v/>
      </c>
      <c r="F21" s="7" t="str">
        <f>IF(A21="","",IF(VLOOKUP(A21,Base_Donnees!A:F,3,FALSE)&gt;4000,0,ROUNDUP((C21*1000/VLOOKUP(A21,Base_Donnees!A:F,3,FALSE))*1.5,0)))</f>
        <v/>
      </c>
      <c r="G21" s="4" t="str">
        <f>IF(A21="","",VLOOKUP(A21,Base_Donnees!A:F,4,FALSE))</f>
        <v/>
      </c>
      <c r="H21" s="3" t="str">
        <f>IF(A21="","",VLOOKUP(A21,Base_Donnees!A:F,5,FALSE))</f>
        <v/>
      </c>
    </row>
    <row r="22" spans="1:8" ht="22.15" customHeight="1" x14ac:dyDescent="0.35">
      <c r="A22" s="8"/>
      <c r="B22" s="9"/>
      <c r="C22" s="10" t="str">
        <f t="shared" si="0"/>
        <v/>
      </c>
      <c r="D22" s="11" t="str">
        <f>IF(A22="","",VLOOKUP(A22,Base_Donnees!A:F,6,FALSE))</f>
        <v/>
      </c>
      <c r="E22" s="11" t="str">
        <f t="shared" si="1"/>
        <v/>
      </c>
      <c r="F22" s="12" t="str">
        <f>IF(A22="","",IF(VLOOKUP(A22,Base_Donnees!A:F,3,FALSE)&gt;4000,0,ROUNDUP((C22*1000/VLOOKUP(A22,Base_Donnees!A:F,3,FALSE))*1.5,0)))</f>
        <v/>
      </c>
      <c r="G22" s="9" t="str">
        <f>IF(A22="","",VLOOKUP(A22,Base_Donnees!A:F,4,FALSE))</f>
        <v/>
      </c>
      <c r="H22" s="8" t="str">
        <f>IF(A22="","",VLOOKUP(A22,Base_Donnees!A:F,5,FALSE))</f>
        <v/>
      </c>
    </row>
    <row r="23" spans="1:8" ht="22.15" customHeight="1" x14ac:dyDescent="0.35">
      <c r="A23" s="3"/>
      <c r="B23" s="4"/>
      <c r="C23" s="5" t="str">
        <f t="shared" si="0"/>
        <v/>
      </c>
      <c r="D23" s="6" t="str">
        <f>IF(A23="","",VLOOKUP(A23,Base_Donnees!A:F,6,FALSE))</f>
        <v/>
      </c>
      <c r="E23" s="6" t="str">
        <f t="shared" si="1"/>
        <v/>
      </c>
      <c r="F23" s="7" t="str">
        <f>IF(A23="","",IF(VLOOKUP(A23,Base_Donnees!A:F,3,FALSE)&gt;4000,0,ROUNDUP((C23*1000/VLOOKUP(A23,Base_Donnees!A:F,3,FALSE))*1.5,0)))</f>
        <v/>
      </c>
      <c r="G23" s="4" t="str">
        <f>IF(A23="","",VLOOKUP(A23,Base_Donnees!A:F,4,FALSE))</f>
        <v/>
      </c>
      <c r="H23" s="3" t="str">
        <f>IF(A23="","",VLOOKUP(A23,Base_Donnees!A:F,5,FALSE))</f>
        <v/>
      </c>
    </row>
    <row r="25" spans="1:8" ht="16.5" x14ac:dyDescent="0.35">
      <c r="A25" s="32" t="s">
        <v>13</v>
      </c>
      <c r="B25" s="25"/>
      <c r="C25" s="25"/>
      <c r="D25" s="25"/>
      <c r="E25" s="25"/>
      <c r="F25" s="25"/>
      <c r="G25" s="25"/>
      <c r="H25" s="25"/>
    </row>
    <row r="26" spans="1:8" ht="24" customHeight="1" x14ac:dyDescent="0.35">
      <c r="A26" s="2" t="s">
        <v>4</v>
      </c>
      <c r="B26" s="2" t="s">
        <v>5</v>
      </c>
      <c r="C26" s="2" t="s">
        <v>6</v>
      </c>
      <c r="D26" s="2" t="s">
        <v>7</v>
      </c>
      <c r="E26" s="2" t="s">
        <v>8</v>
      </c>
      <c r="F26" s="2" t="s">
        <v>9</v>
      </c>
      <c r="G26" s="2" t="s">
        <v>10</v>
      </c>
      <c r="H26" s="2" t="s">
        <v>11</v>
      </c>
    </row>
    <row r="27" spans="1:8" ht="22.15" customHeight="1" x14ac:dyDescent="0.35">
      <c r="A27" s="3"/>
      <c r="B27" s="4"/>
      <c r="C27" s="5" t="str">
        <f>IF(A27="","",B27*$B$2)</f>
        <v/>
      </c>
      <c r="D27" s="6" t="str">
        <f>IF(A27="","",VLOOKUP(A27,Base_Donnees!A:F,6,FALSE))</f>
        <v/>
      </c>
      <c r="E27" s="6" t="str">
        <f>IF(A27="","",C27*D27)</f>
        <v/>
      </c>
      <c r="F27" s="7" t="str">
        <f>IF(A27="","",IF(VLOOKUP(A27,Base_Donnees!A:F,3,FALSE)&gt;4000,0,ROUNDUP((C27*1000/VLOOKUP(A27,Base_Donnees!A:F,3,FALSE))*1.5,0)))</f>
        <v/>
      </c>
      <c r="G27" s="4" t="str">
        <f>IF(A27="","",VLOOKUP(A27,Base_Donnees!A:F,4,FALSE))</f>
        <v/>
      </c>
      <c r="H27" s="3" t="str">
        <f>IF(A27="","",VLOOKUP(A27,Base_Donnees!A:F,5,FALSE))</f>
        <v/>
      </c>
    </row>
    <row r="28" spans="1:8" ht="22.15" customHeight="1" x14ac:dyDescent="0.35">
      <c r="A28" s="8"/>
      <c r="B28" s="9"/>
      <c r="C28" s="10" t="str">
        <f>IF(A28="","",B28*$B$2)</f>
        <v/>
      </c>
      <c r="D28" s="11" t="str">
        <f>IF(A28="","",VLOOKUP(A28,Base_Donnees!A:F,6,FALSE))</f>
        <v/>
      </c>
      <c r="E28" s="11" t="str">
        <f>IF(A28="","",C28*D28)</f>
        <v/>
      </c>
      <c r="F28" s="12" t="str">
        <f>IF(A28="","",IF(VLOOKUP(A28,Base_Donnees!A:F,3,FALSE)&gt;4000,0,ROUNDUP((C28*1000/VLOOKUP(A28,Base_Donnees!A:F,3,FALSE))*1.5,0)))</f>
        <v/>
      </c>
      <c r="G28" s="9" t="str">
        <f>IF(A28="","",VLOOKUP(A28,Base_Donnees!A:F,4,FALSE))</f>
        <v/>
      </c>
      <c r="H28" s="8" t="str">
        <f>IF(A28="","",VLOOKUP(A28,Base_Donnees!A:F,5,FALSE))</f>
        <v/>
      </c>
    </row>
    <row r="29" spans="1:8" ht="22.15" customHeight="1" x14ac:dyDescent="0.35">
      <c r="A29" s="3"/>
      <c r="B29" s="4"/>
      <c r="C29" s="5" t="str">
        <f>IF(A29="","",B29*$B$2)</f>
        <v/>
      </c>
      <c r="D29" s="6" t="str">
        <f>IF(A29="","",VLOOKUP(A29,Base_Donnees!A:F,6,FALSE))</f>
        <v/>
      </c>
      <c r="E29" s="6" t="str">
        <f>IF(A29="","",C29*D29)</f>
        <v/>
      </c>
      <c r="F29" s="7" t="str">
        <f>IF(A29="","",IF(VLOOKUP(A29,Base_Donnees!A:F,3,FALSE)&gt;4000,0,ROUNDUP((C29*1000/VLOOKUP(A29,Base_Donnees!A:F,3,FALSE))*1.5,0)))</f>
        <v/>
      </c>
      <c r="G29" s="4" t="str">
        <f>IF(A29="","",VLOOKUP(A29,Base_Donnees!A:F,4,FALSE))</f>
        <v/>
      </c>
      <c r="H29" s="3" t="str">
        <f>IF(A29="","",VLOOKUP(A29,Base_Donnees!A:F,5,FALSE))</f>
        <v/>
      </c>
    </row>
    <row r="31" spans="1:8" ht="16.5" x14ac:dyDescent="0.35">
      <c r="A31" s="33" t="s">
        <v>14</v>
      </c>
      <c r="B31" s="25"/>
      <c r="C31" s="25"/>
      <c r="D31" s="25"/>
      <c r="E31" s="25"/>
      <c r="F31" s="25"/>
      <c r="G31" s="25"/>
      <c r="H31" s="25"/>
    </row>
    <row r="32" spans="1:8" ht="24" customHeight="1" x14ac:dyDescent="0.35">
      <c r="A32" s="2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</row>
    <row r="33" spans="1:8" ht="22.15" customHeight="1" x14ac:dyDescent="0.35">
      <c r="A33" s="3"/>
      <c r="B33" s="4"/>
      <c r="C33" s="5" t="str">
        <f>IF(A33="","",B33*$B$2)</f>
        <v/>
      </c>
      <c r="D33" s="6" t="str">
        <f>IF(A33="","",VLOOKUP(A33,Base_Donnees!A:F,6,FALSE))</f>
        <v/>
      </c>
      <c r="E33" s="6" t="str">
        <f>IF(A33="","",C33*D33)</f>
        <v/>
      </c>
      <c r="F33" s="7" t="str">
        <f>IF(A33="","",IF(VLOOKUP(A33,Base_Donnees!A:F,3,FALSE)&gt;4000,0,ROUNDUP((C33*1000/VLOOKUP(A33,Base_Donnees!A:F,3,FALSE))*1.5,0)))</f>
        <v/>
      </c>
      <c r="G33" s="4" t="str">
        <f>IF(A33="","",VLOOKUP(A33,Base_Donnees!A:F,4,FALSE))</f>
        <v/>
      </c>
      <c r="H33" s="3" t="str">
        <f>IF(A33="","",VLOOKUP(A33,Base_Donnees!A:F,5,FALSE))</f>
        <v/>
      </c>
    </row>
    <row r="34" spans="1:8" ht="22.15" customHeight="1" x14ac:dyDescent="0.35">
      <c r="A34" s="8"/>
      <c r="B34" s="9"/>
      <c r="C34" s="10" t="str">
        <f>IF(A34="","",B34*$B$2)</f>
        <v/>
      </c>
      <c r="D34" s="11" t="str">
        <f>IF(A34="","",VLOOKUP(A34,Base_Donnees!A:F,6,FALSE))</f>
        <v/>
      </c>
      <c r="E34" s="11" t="str">
        <f>IF(A34="","",C34*D34)</f>
        <v/>
      </c>
      <c r="F34" s="12" t="str">
        <f>IF(A34="","",IF(VLOOKUP(A34,Base_Donnees!A:F,3,FALSE)&gt;4000,0,ROUNDUP((C34*1000/VLOOKUP(A34,Base_Donnees!A:F,3,FALSE))*1.5,0)))</f>
        <v/>
      </c>
      <c r="G34" s="9" t="str">
        <f>IF(A34="","",VLOOKUP(A34,Base_Donnees!A:F,4,FALSE))</f>
        <v/>
      </c>
      <c r="H34" s="8" t="str">
        <f>IF(A34="","",VLOOKUP(A34,Base_Donnees!A:F,5,FALSE))</f>
        <v/>
      </c>
    </row>
    <row r="35" spans="1:8" ht="22.15" customHeight="1" x14ac:dyDescent="0.35">
      <c r="A35" s="3"/>
      <c r="B35" s="4"/>
      <c r="C35" s="5" t="str">
        <f>IF(A35="","",B35*$B$2)</f>
        <v/>
      </c>
      <c r="D35" s="6" t="str">
        <f>IF(A35="","",VLOOKUP(A35,Base_Donnees!A:F,6,FALSE))</f>
        <v/>
      </c>
      <c r="E35" s="6" t="str">
        <f>IF(A35="","",C35*D35)</f>
        <v/>
      </c>
      <c r="F35" s="7" t="str">
        <f>IF(A35="","",IF(VLOOKUP(A35,Base_Donnees!A:F,3,FALSE)&gt;4000,0,ROUNDUP((C35*1000/VLOOKUP(A35,Base_Donnees!A:F,3,FALSE))*1.5,0)))</f>
        <v/>
      </c>
      <c r="G35" s="4" t="str">
        <f>IF(A35="","",VLOOKUP(A35,Base_Donnees!A:F,4,FALSE))</f>
        <v/>
      </c>
      <c r="H35" s="3" t="str">
        <f>IF(A35="","",VLOOKUP(A35,Base_Donnees!A:F,5,FALSE))</f>
        <v/>
      </c>
    </row>
    <row r="38" spans="1:8" ht="16" x14ac:dyDescent="0.35">
      <c r="A38" s="24" t="s">
        <v>15</v>
      </c>
      <c r="B38" s="25"/>
      <c r="C38" s="25"/>
      <c r="D38" s="25"/>
      <c r="E38" s="25"/>
      <c r="F38" s="25"/>
    </row>
    <row r="39" spans="1:8" ht="30" customHeight="1" x14ac:dyDescent="0.35">
      <c r="A39" s="13" t="s">
        <v>16</v>
      </c>
      <c r="B39" s="13" t="s">
        <v>17</v>
      </c>
      <c r="C39" s="13" t="s">
        <v>18</v>
      </c>
      <c r="D39" s="13" t="s">
        <v>19</v>
      </c>
      <c r="E39" s="13" t="s">
        <v>20</v>
      </c>
      <c r="F39" s="13" t="s">
        <v>21</v>
      </c>
    </row>
    <row r="40" spans="1:8" ht="22.15" customHeight="1" x14ac:dyDescent="0.35">
      <c r="A40" s="4" t="s">
        <v>22</v>
      </c>
      <c r="B40" s="7">
        <f>SUM(F7:F9)</f>
        <v>0</v>
      </c>
      <c r="C40" s="7">
        <f>B40+SUM(C7:C9)*0.6</f>
        <v>0</v>
      </c>
      <c r="D40" s="4" t="str">
        <f>IF(C40&gt;1000,"TROP PLEIN !","OK")</f>
        <v>OK</v>
      </c>
      <c r="E40" s="4">
        <f>IF(B40=0,0,MAX(G7:G9))</f>
        <v>0</v>
      </c>
      <c r="F40" s="6">
        <f>SUM(E7:E9)</f>
        <v>0</v>
      </c>
    </row>
    <row r="41" spans="1:8" ht="22.15" customHeight="1" x14ac:dyDescent="0.35">
      <c r="A41" s="4" t="s">
        <v>23</v>
      </c>
      <c r="B41" s="7">
        <f>SUM(F13:F23)</f>
        <v>0</v>
      </c>
      <c r="C41" s="7">
        <f>B41+SUM(C13:C23)*0.6</f>
        <v>3</v>
      </c>
      <c r="D41" s="4" t="str">
        <f>IF(C41&gt;1000,"TROP PLEIN !","OK")</f>
        <v>OK</v>
      </c>
      <c r="E41" s="4">
        <f>IF(B41=0,0,MAX(G13:G23))</f>
        <v>0</v>
      </c>
      <c r="F41" s="6">
        <f>SUM(E13:E23)</f>
        <v>2308.6999999999998</v>
      </c>
    </row>
    <row r="42" spans="1:8" ht="22.15" customHeight="1" x14ac:dyDescent="0.35">
      <c r="A42" s="4" t="s">
        <v>24</v>
      </c>
      <c r="B42" s="7">
        <f>SUM(F27:F29)</f>
        <v>0</v>
      </c>
      <c r="C42" s="7">
        <f>B42+SUM(C27:C29)*0.6</f>
        <v>0</v>
      </c>
      <c r="D42" s="4" t="str">
        <f>IF(C42&gt;1000,"TROP PLEIN !","OK")</f>
        <v>OK</v>
      </c>
      <c r="E42" s="4">
        <f>IF(B42=0,0,MAX(G27:G29))</f>
        <v>0</v>
      </c>
      <c r="F42" s="6">
        <f>SUM(E27:E29)</f>
        <v>0</v>
      </c>
    </row>
    <row r="43" spans="1:8" ht="22.15" customHeight="1" x14ac:dyDescent="0.35">
      <c r="A43" s="4" t="s">
        <v>25</v>
      </c>
      <c r="B43" s="7">
        <f>SUM(F33:F35)</f>
        <v>0</v>
      </c>
      <c r="C43" s="7">
        <f>B43+SUM(C33:C35)*0.6</f>
        <v>0</v>
      </c>
      <c r="D43" s="4" t="str">
        <f>IF(C43&gt;1000,"TROP PLEIN !","OK")</f>
        <v>OK</v>
      </c>
      <c r="E43" s="4">
        <f>IF(B43=0,0,MAX(G33:G35))</f>
        <v>0</v>
      </c>
      <c r="F43" s="6">
        <f>SUM(E33:E35)</f>
        <v>0</v>
      </c>
    </row>
    <row r="44" spans="1:8" x14ac:dyDescent="0.35">
      <c r="F44" s="26">
        <f>SUM(F40:F43)*E3</f>
        <v>2308.6999999999998</v>
      </c>
      <c r="G44" s="25"/>
      <c r="H44" s="25"/>
    </row>
    <row r="45" spans="1:8" x14ac:dyDescent="0.35">
      <c r="F45" s="25"/>
      <c r="G45" s="25"/>
      <c r="H45" s="25"/>
    </row>
  </sheetData>
  <mergeCells count="8">
    <mergeCell ref="A38:F38"/>
    <mergeCell ref="F44:H45"/>
    <mergeCell ref="A1:E1"/>
    <mergeCell ref="F1:H1"/>
    <mergeCell ref="A5:H5"/>
    <mergeCell ref="A11:H11"/>
    <mergeCell ref="A25:H25"/>
    <mergeCell ref="A31:H3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B8246599-05E6-40B2-9019-2D58FCCADD81}">
          <x14:formula1>
            <xm:f>Base_Donnees!$A$18:$A$19</xm:f>
          </x14:formula1>
          <xm:sqref>A33:A35</xm:sqref>
        </x14:dataValidation>
        <x14:dataValidation type="list" allowBlank="1" xr:uid="{BDAC0DB0-E8C9-4B3E-8A3F-97A11BC46B84}">
          <x14:formula1>
            <xm:f>Base_Donnees!$A$15:$A$17</xm:f>
          </x14:formula1>
          <xm:sqref>A27:A29</xm:sqref>
        </x14:dataValidation>
        <x14:dataValidation type="list" allowBlank="1" xr:uid="{B7F834C6-C43F-4B6C-BC1E-18BC46456EBE}">
          <x14:formula1>
            <xm:f>Base_Donnees!$A$4:$A$14</xm:f>
          </x14:formula1>
          <xm:sqref>A13:A23</xm:sqref>
        </x14:dataValidation>
        <x14:dataValidation type="list" allowBlank="1" xr:uid="{03C4CBEB-79D5-4B2E-A3FF-26F2CED142CC}">
          <x14:formula1>
            <xm:f>Base_Donnees!$A$2:$A$3</xm:f>
          </x14:formula1>
          <xm:sqref>A7:A9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32EC-6253-455B-B58D-EA3CA3A70181}">
  <dimension ref="A1:H45"/>
  <sheetViews>
    <sheetView workbookViewId="0">
      <selection activeCell="B9" sqref="B9"/>
    </sheetView>
  </sheetViews>
  <sheetFormatPr baseColWidth="10" defaultColWidth="8.90625" defaultRowHeight="14.5" x14ac:dyDescent="0.35"/>
  <cols>
    <col min="1" max="1" width="39.6328125" style="17" customWidth="1"/>
    <col min="2" max="2" width="15.453125" style="17" customWidth="1"/>
    <col min="3" max="3" width="14.26953125" style="17" customWidth="1"/>
    <col min="4" max="4" width="14.54296875" style="17" customWidth="1"/>
    <col min="5" max="5" width="14.90625" style="17" customWidth="1"/>
    <col min="6" max="6" width="13.26953125" style="17" customWidth="1"/>
    <col min="7" max="7" width="14.36328125" style="17" customWidth="1"/>
    <col min="8" max="8" width="68.1796875" style="17" customWidth="1"/>
    <col min="9" max="9" width="16" style="17" customWidth="1"/>
    <col min="10" max="16384" width="8.90625" style="17"/>
  </cols>
  <sheetData>
    <row r="1" spans="1:8" ht="30" customHeight="1" x14ac:dyDescent="0.35">
      <c r="A1" s="27" t="s">
        <v>0</v>
      </c>
      <c r="B1" s="27"/>
      <c r="C1" s="27"/>
      <c r="D1" s="27"/>
      <c r="E1" s="27"/>
      <c r="F1" s="28">
        <f>F44</f>
        <v>39025.56</v>
      </c>
      <c r="G1" s="29"/>
      <c r="H1" s="29"/>
    </row>
    <row r="2" spans="1:8" ht="16" x14ac:dyDescent="0.35">
      <c r="A2" s="18" t="s">
        <v>1</v>
      </c>
      <c r="B2" s="1">
        <v>8</v>
      </c>
      <c r="D2" s="23" t="s">
        <v>84</v>
      </c>
      <c r="E2" s="22" t="s">
        <v>88</v>
      </c>
    </row>
    <row r="3" spans="1:8" ht="16" x14ac:dyDescent="0.35">
      <c r="A3" s="18" t="s">
        <v>2</v>
      </c>
      <c r="B3" s="20">
        <v>46098</v>
      </c>
      <c r="D3" s="23" t="s">
        <v>86</v>
      </c>
      <c r="E3" s="21">
        <v>1</v>
      </c>
    </row>
    <row r="5" spans="1:8" ht="16.5" x14ac:dyDescent="0.35">
      <c r="A5" s="30" t="s">
        <v>3</v>
      </c>
      <c r="B5" s="25"/>
      <c r="C5" s="25"/>
      <c r="D5" s="25"/>
      <c r="E5" s="25"/>
      <c r="F5" s="25"/>
      <c r="G5" s="25"/>
      <c r="H5" s="25"/>
    </row>
    <row r="6" spans="1:8" ht="24" customHeight="1" x14ac:dyDescent="0.3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</row>
    <row r="7" spans="1:8" ht="22.15" customHeight="1" x14ac:dyDescent="0.35">
      <c r="A7" s="15" t="s">
        <v>31</v>
      </c>
      <c r="B7" s="4">
        <v>2.5</v>
      </c>
      <c r="C7" s="5">
        <f>IF(A7="","",B7*$B$2)</f>
        <v>20</v>
      </c>
      <c r="D7" s="6">
        <f>IF(A7="","",VLOOKUP(A7,Base_Donnees!A:F,6,FALSE))</f>
        <v>134.44999999999999</v>
      </c>
      <c r="E7" s="6">
        <f>IF(A7="","",C7*D7)</f>
        <v>2689</v>
      </c>
      <c r="F7" s="7">
        <f>IF(A7="","",IF(VLOOKUP(A7,Base_Donnees!A:F,3,FALSE)&gt;4000,0,ROUNDUP((C7*1000/VLOOKUP(A7,Base_Donnees!A:F,3,FALSE))*1.5,0)))</f>
        <v>250</v>
      </c>
      <c r="G7" s="4">
        <f>IF(A7="","",VLOOKUP(A7,Base_Donnees!A:F,4,FALSE))</f>
        <v>6</v>
      </c>
      <c r="H7" s="3" t="str">
        <f>IF(A7="","",VLOOKUP(A7,Base_Donnees!A:F,5,FALSE))</f>
        <v>CRITIQUE : Isoler totalement des Sulfates/Phosphates.</v>
      </c>
    </row>
    <row r="8" spans="1:8" ht="22.15" customHeight="1" x14ac:dyDescent="0.35">
      <c r="A8" s="16" t="s">
        <v>34</v>
      </c>
      <c r="B8" s="9">
        <v>1.5</v>
      </c>
      <c r="C8" s="10">
        <f>IF(A8="","",B8*$B$2)</f>
        <v>12</v>
      </c>
      <c r="D8" s="11">
        <f>IF(A8="","",VLOOKUP(A8,Base_Donnees!A:F,6,FALSE))</f>
        <v>378.15</v>
      </c>
      <c r="E8" s="11">
        <f>IF(A8="","",C8*D8)</f>
        <v>4537.7999999999993</v>
      </c>
      <c r="F8" s="12">
        <f>IF(A8="","",IF(VLOOKUP(A8,Base_Donnees!A:F,3,FALSE)&gt;4000,0,ROUNDUP((C8*1000/VLOOKUP(A8,Base_Donnees!A:F,3,FALSE))*1.5,0)))</f>
        <v>0</v>
      </c>
      <c r="G8" s="9">
        <f>IF(A8="","",VLOOKUP(A8,Base_Donnees!A:F,4,FALSE))</f>
        <v>1</v>
      </c>
      <c r="H8" s="8" t="str">
        <f>IF(A8="","",VLOOKUP(A8,Base_Donnees!A:F,5,FALSE))</f>
        <v>CORROSIF : Gants + lunettes de protection obligatoires.</v>
      </c>
    </row>
    <row r="9" spans="1:8" ht="22.15" customHeight="1" x14ac:dyDescent="0.35">
      <c r="A9" s="15"/>
      <c r="B9" s="4"/>
      <c r="C9" s="5" t="str">
        <f>IF(A9="","",B9*$B$2)</f>
        <v/>
      </c>
      <c r="D9" s="6" t="str">
        <f>IF(A9="","",VLOOKUP(A9,Base_Donnees!A:F,6,FALSE))</f>
        <v/>
      </c>
      <c r="E9" s="6" t="str">
        <f>IF(A9="","",C9*D9)</f>
        <v/>
      </c>
      <c r="F9" s="7" t="str">
        <f>IF(A9="","",IF(VLOOKUP(A9,Base_Donnees!A:F,3,FALSE)&gt;4000,0,ROUNDUP((C9*1000/VLOOKUP(A9,Base_Donnees!A:F,3,FALSE))*1.5,0)))</f>
        <v/>
      </c>
      <c r="G9" s="4" t="str">
        <f>IF(A9="","",VLOOKUP(A9,Base_Donnees!A:F,4,FALSE))</f>
        <v/>
      </c>
      <c r="H9" s="3" t="str">
        <f>IF(A9="","",VLOOKUP(A9,Base_Donnees!A:F,5,FALSE))</f>
        <v/>
      </c>
    </row>
    <row r="10" spans="1:8" ht="15.5" x14ac:dyDescent="0.35">
      <c r="A10" s="19"/>
    </row>
    <row r="11" spans="1:8" ht="16.5" x14ac:dyDescent="0.35">
      <c r="A11" s="31" t="s">
        <v>12</v>
      </c>
      <c r="B11" s="25"/>
      <c r="C11" s="25"/>
      <c r="D11" s="25"/>
      <c r="E11" s="25"/>
      <c r="F11" s="25"/>
      <c r="G11" s="25"/>
      <c r="H11" s="25"/>
    </row>
    <row r="12" spans="1:8" ht="24" customHeight="1" x14ac:dyDescent="0.35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</row>
    <row r="13" spans="1:8" ht="22.15" customHeight="1" x14ac:dyDescent="0.35">
      <c r="A13" s="3" t="s">
        <v>37</v>
      </c>
      <c r="B13" s="4">
        <v>2</v>
      </c>
      <c r="C13" s="5">
        <f t="shared" ref="C13:C23" si="0">IF(A13="","",B13*$B$2)</f>
        <v>16</v>
      </c>
      <c r="D13" s="6">
        <f>IF(A13="","",VLOOKUP(A13,Base_Donnees!A:F,6,FALSE))</f>
        <v>378.15</v>
      </c>
      <c r="E13" s="6">
        <f t="shared" ref="E13:E23" si="1">IF(A13="","",C13*D13)</f>
        <v>6050.4</v>
      </c>
      <c r="F13" s="7">
        <f>IF(A13="","",IF(VLOOKUP(A13,Base_Donnees!A:F,3,FALSE)&gt;4000,0,ROUNDUP((C13*1000/VLOOKUP(A13,Base_Donnees!A:F,3,FALSE))*1.5,0)))</f>
        <v>229</v>
      </c>
      <c r="G13" s="4">
        <f>IF(A13="","",VLOOKUP(A13,Base_Donnees!A:F,4,FALSE))</f>
        <v>5</v>
      </c>
      <c r="H13" s="3" t="str">
        <f>IF(A13="","",VLOOKUP(A13,Base_Donnees!A:F,5,FALSE))</f>
        <v>Très soluble. Refroidit fortement l'eau (endothermique).</v>
      </c>
    </row>
    <row r="14" spans="1:8" ht="22.15" customHeight="1" x14ac:dyDescent="0.35">
      <c r="A14" s="8" t="s">
        <v>40</v>
      </c>
      <c r="B14" s="9">
        <v>3.5</v>
      </c>
      <c r="C14" s="10">
        <f t="shared" si="0"/>
        <v>28</v>
      </c>
      <c r="D14" s="11">
        <f>IF(A14="","",VLOOKUP(A14,Base_Donnees!A:F,6,FALSE))</f>
        <v>218.49</v>
      </c>
      <c r="E14" s="11">
        <f t="shared" si="1"/>
        <v>6117.72</v>
      </c>
      <c r="F14" s="12">
        <f>IF(A14="","",IF(VLOOKUP(A14,Base_Donnees!A:F,3,FALSE)&gt;4000,0,ROUNDUP((C14*1000/VLOOKUP(A14,Base_Donnees!A:F,3,FALSE))*1.5,0)))</f>
        <v>1400</v>
      </c>
      <c r="G14" s="9">
        <f>IF(A14="","",VLOOKUP(A14,Base_Donnees!A:F,4,FALSE))</f>
        <v>15</v>
      </c>
      <c r="H14" s="8" t="str">
        <f>IF(A14="","",VLOOKUP(A14,Base_Donnees!A:F,5,FALSE))</f>
        <v>Sensible à l'eau froide du puits. Agitation requise.</v>
      </c>
    </row>
    <row r="15" spans="1:8" ht="22.15" customHeight="1" x14ac:dyDescent="0.35">
      <c r="A15" s="3" t="s">
        <v>46</v>
      </c>
      <c r="B15" s="4">
        <v>2</v>
      </c>
      <c r="C15" s="5">
        <f t="shared" si="0"/>
        <v>16</v>
      </c>
      <c r="D15" s="6">
        <f>IF(A15="","",VLOOKUP(A15,Base_Donnees!A:F,6,FALSE))</f>
        <v>218.49</v>
      </c>
      <c r="E15" s="6">
        <f t="shared" si="1"/>
        <v>3495.84</v>
      </c>
      <c r="F15" s="7">
        <f>IF(A15="","",IF(VLOOKUP(A15,Base_Donnees!A:F,3,FALSE)&gt;4000,0,ROUNDUP((C15*1000/VLOOKUP(A15,Base_Donnees!A:F,3,FALSE))*1.5,0)))</f>
        <v>343</v>
      </c>
      <c r="G15" s="4">
        <f>IF(A15="","",VLOOKUP(A15,Base_Donnees!A:F,4,FALSE))</f>
        <v>8</v>
      </c>
      <c r="H15" s="3" t="str">
        <f>IF(A15="","",VLOOKUP(A15,Base_Donnees!A:F,5,FALSE))</f>
        <v>Excellente source de magnésium, très soluble.</v>
      </c>
    </row>
    <row r="16" spans="1:8" ht="22.15" customHeight="1" x14ac:dyDescent="0.35">
      <c r="A16" s="8" t="s">
        <v>66</v>
      </c>
      <c r="B16" s="9">
        <v>2.5</v>
      </c>
      <c r="C16" s="10">
        <f t="shared" si="0"/>
        <v>20</v>
      </c>
      <c r="D16" s="11">
        <f>IF(A16="","",VLOOKUP(A16,Base_Donnees!A:F,6,FALSE))</f>
        <v>461.74</v>
      </c>
      <c r="E16" s="11">
        <f t="shared" si="1"/>
        <v>9234.7999999999993</v>
      </c>
      <c r="F16" s="12">
        <f>IF(A16="","",IF(VLOOKUP(A16,Base_Donnees!A:F,3,FALSE)&gt;4000,0,ROUNDUP((C16*1000/VLOOKUP(A16,Base_Donnees!A:F,3,FALSE))*1.5,0)))</f>
        <v>0</v>
      </c>
      <c r="G16" s="9">
        <f>IF(A16="","",VLOOKUP(A16,Base_Donnees!A:F,4,FALSE))</f>
        <v>1</v>
      </c>
      <c r="H16" s="8" t="str">
        <f>IF(A16="","",VLOOKUP(A16,Base_Donnees!A:F,5,FALSE))</f>
        <v>Sécurité : Toujours verser l'acide dans l'eau.</v>
      </c>
    </row>
    <row r="17" spans="1:8" ht="22.15" customHeight="1" x14ac:dyDescent="0.35">
      <c r="A17" s="3"/>
      <c r="B17" s="4"/>
      <c r="C17" s="5" t="str">
        <f t="shared" si="0"/>
        <v/>
      </c>
      <c r="D17" s="6" t="str">
        <f>IF(A17="","",VLOOKUP(A17,Base_Donnees!A:F,6,FALSE))</f>
        <v/>
      </c>
      <c r="E17" s="6" t="str">
        <f t="shared" si="1"/>
        <v/>
      </c>
      <c r="F17" s="7" t="str">
        <f>IF(A17="","",IF(VLOOKUP(A17,Base_Donnees!A:F,3,FALSE)&gt;4000,0,ROUNDUP((C17*1000/VLOOKUP(A17,Base_Donnees!A:F,3,FALSE))*1.5,0)))</f>
        <v/>
      </c>
      <c r="G17" s="4" t="str">
        <f>IF(A17="","",VLOOKUP(A17,Base_Donnees!A:F,4,FALSE))</f>
        <v/>
      </c>
      <c r="H17" s="3" t="str">
        <f>IF(A17="","",VLOOKUP(A17,Base_Donnees!A:F,5,FALSE))</f>
        <v/>
      </c>
    </row>
    <row r="18" spans="1:8" ht="22.15" customHeight="1" x14ac:dyDescent="0.35">
      <c r="A18" s="8"/>
      <c r="B18" s="9"/>
      <c r="C18" s="10" t="str">
        <f t="shared" si="0"/>
        <v/>
      </c>
      <c r="D18" s="11" t="str">
        <f>IF(A18="","",VLOOKUP(A18,Base_Donnees!A:F,6,FALSE))</f>
        <v/>
      </c>
      <c r="E18" s="11" t="str">
        <f t="shared" si="1"/>
        <v/>
      </c>
      <c r="F18" s="12" t="str">
        <f>IF(A18="","",IF(VLOOKUP(A18,Base_Donnees!A:F,3,FALSE)&gt;4000,0,ROUNDUP((C18*1000/VLOOKUP(A18,Base_Donnees!A:F,3,FALSE))*1.5,0)))</f>
        <v/>
      </c>
      <c r="G18" s="9" t="str">
        <f>IF(A18="","",VLOOKUP(A18,Base_Donnees!A:F,4,FALSE))</f>
        <v/>
      </c>
      <c r="H18" s="8" t="str">
        <f>IF(A18="","",VLOOKUP(A18,Base_Donnees!A:F,5,FALSE))</f>
        <v/>
      </c>
    </row>
    <row r="19" spans="1:8" ht="22.15" customHeight="1" x14ac:dyDescent="0.35">
      <c r="A19" s="3"/>
      <c r="B19" s="4"/>
      <c r="C19" s="5" t="str">
        <f t="shared" si="0"/>
        <v/>
      </c>
      <c r="D19" s="6" t="str">
        <f>IF(A19="","",VLOOKUP(A19,Base_Donnees!A:F,6,FALSE))</f>
        <v/>
      </c>
      <c r="E19" s="6" t="str">
        <f t="shared" si="1"/>
        <v/>
      </c>
      <c r="F19" s="7" t="str">
        <f>IF(A19="","",IF(VLOOKUP(A19,Base_Donnees!A:F,3,FALSE)&gt;4000,0,ROUNDUP((C19*1000/VLOOKUP(A19,Base_Donnees!A:F,3,FALSE))*1.5,0)))</f>
        <v/>
      </c>
      <c r="G19" s="4" t="str">
        <f>IF(A19="","",VLOOKUP(A19,Base_Donnees!A:F,4,FALSE))</f>
        <v/>
      </c>
      <c r="H19" s="3" t="str">
        <f>IF(A19="","",VLOOKUP(A19,Base_Donnees!A:F,5,FALSE))</f>
        <v/>
      </c>
    </row>
    <row r="20" spans="1:8" ht="22.15" customHeight="1" x14ac:dyDescent="0.35">
      <c r="A20" s="8"/>
      <c r="B20" s="9"/>
      <c r="C20" s="10" t="str">
        <f t="shared" si="0"/>
        <v/>
      </c>
      <c r="D20" s="11" t="str">
        <f>IF(A20="","",VLOOKUP(A20,Base_Donnees!A:F,6,FALSE))</f>
        <v/>
      </c>
      <c r="E20" s="11" t="str">
        <f t="shared" si="1"/>
        <v/>
      </c>
      <c r="F20" s="12" t="str">
        <f>IF(A20="","",IF(VLOOKUP(A20,Base_Donnees!A:F,3,FALSE)&gt;4000,0,ROUNDUP((C20*1000/VLOOKUP(A20,Base_Donnees!A:F,3,FALSE))*1.5,0)))</f>
        <v/>
      </c>
      <c r="G20" s="9" t="str">
        <f>IF(A20="","",VLOOKUP(A20,Base_Donnees!A:F,4,FALSE))</f>
        <v/>
      </c>
      <c r="H20" s="8" t="str">
        <f>IF(A20="","",VLOOKUP(A20,Base_Donnees!A:F,5,FALSE))</f>
        <v/>
      </c>
    </row>
    <row r="21" spans="1:8" ht="22.15" customHeight="1" x14ac:dyDescent="0.35">
      <c r="A21" s="3"/>
      <c r="B21" s="4"/>
      <c r="C21" s="5" t="str">
        <f t="shared" si="0"/>
        <v/>
      </c>
      <c r="D21" s="6" t="str">
        <f>IF(A21="","",VLOOKUP(A21,Base_Donnees!A:F,6,FALSE))</f>
        <v/>
      </c>
      <c r="E21" s="6" t="str">
        <f t="shared" si="1"/>
        <v/>
      </c>
      <c r="F21" s="7" t="str">
        <f>IF(A21="","",IF(VLOOKUP(A21,Base_Donnees!A:F,3,FALSE)&gt;4000,0,ROUNDUP((C21*1000/VLOOKUP(A21,Base_Donnees!A:F,3,FALSE))*1.5,0)))</f>
        <v/>
      </c>
      <c r="G21" s="4" t="str">
        <f>IF(A21="","",VLOOKUP(A21,Base_Donnees!A:F,4,FALSE))</f>
        <v/>
      </c>
      <c r="H21" s="3" t="str">
        <f>IF(A21="","",VLOOKUP(A21,Base_Donnees!A:F,5,FALSE))</f>
        <v/>
      </c>
    </row>
    <row r="22" spans="1:8" ht="22.15" customHeight="1" x14ac:dyDescent="0.35">
      <c r="A22" s="8"/>
      <c r="B22" s="9"/>
      <c r="C22" s="10" t="str">
        <f t="shared" si="0"/>
        <v/>
      </c>
      <c r="D22" s="11" t="str">
        <f>IF(A22="","",VLOOKUP(A22,Base_Donnees!A:F,6,FALSE))</f>
        <v/>
      </c>
      <c r="E22" s="11" t="str">
        <f t="shared" si="1"/>
        <v/>
      </c>
      <c r="F22" s="12" t="str">
        <f>IF(A22="","",IF(VLOOKUP(A22,Base_Donnees!A:F,3,FALSE)&gt;4000,0,ROUNDUP((C22*1000/VLOOKUP(A22,Base_Donnees!A:F,3,FALSE))*1.5,0)))</f>
        <v/>
      </c>
      <c r="G22" s="9" t="str">
        <f>IF(A22="","",VLOOKUP(A22,Base_Donnees!A:F,4,FALSE))</f>
        <v/>
      </c>
      <c r="H22" s="8" t="str">
        <f>IF(A22="","",VLOOKUP(A22,Base_Donnees!A:F,5,FALSE))</f>
        <v/>
      </c>
    </row>
    <row r="23" spans="1:8" ht="22.15" customHeight="1" x14ac:dyDescent="0.35">
      <c r="A23" s="3"/>
      <c r="B23" s="4"/>
      <c r="C23" s="5" t="str">
        <f t="shared" si="0"/>
        <v/>
      </c>
      <c r="D23" s="6" t="str">
        <f>IF(A23="","",VLOOKUP(A23,Base_Donnees!A:F,6,FALSE))</f>
        <v/>
      </c>
      <c r="E23" s="6" t="str">
        <f t="shared" si="1"/>
        <v/>
      </c>
      <c r="F23" s="7" t="str">
        <f>IF(A23="","",IF(VLOOKUP(A23,Base_Donnees!A:F,3,FALSE)&gt;4000,0,ROUNDUP((C23*1000/VLOOKUP(A23,Base_Donnees!A:F,3,FALSE))*1.5,0)))</f>
        <v/>
      </c>
      <c r="G23" s="4" t="str">
        <f>IF(A23="","",VLOOKUP(A23,Base_Donnees!A:F,4,FALSE))</f>
        <v/>
      </c>
      <c r="H23" s="3" t="str">
        <f>IF(A23="","",VLOOKUP(A23,Base_Donnees!A:F,5,FALSE))</f>
        <v/>
      </c>
    </row>
    <row r="25" spans="1:8" ht="16.5" x14ac:dyDescent="0.35">
      <c r="A25" s="32" t="s">
        <v>13</v>
      </c>
      <c r="B25" s="25"/>
      <c r="C25" s="25"/>
      <c r="D25" s="25"/>
      <c r="E25" s="25"/>
      <c r="F25" s="25"/>
      <c r="G25" s="25"/>
      <c r="H25" s="25"/>
    </row>
    <row r="26" spans="1:8" ht="24" customHeight="1" x14ac:dyDescent="0.35">
      <c r="A26" s="2" t="s">
        <v>4</v>
      </c>
      <c r="B26" s="2" t="s">
        <v>5</v>
      </c>
      <c r="C26" s="2" t="s">
        <v>6</v>
      </c>
      <c r="D26" s="2" t="s">
        <v>7</v>
      </c>
      <c r="E26" s="2" t="s">
        <v>8</v>
      </c>
      <c r="F26" s="2" t="s">
        <v>9</v>
      </c>
      <c r="G26" s="2" t="s">
        <v>10</v>
      </c>
      <c r="H26" s="2" t="s">
        <v>11</v>
      </c>
    </row>
    <row r="27" spans="1:8" ht="22.15" customHeight="1" x14ac:dyDescent="0.35">
      <c r="A27" s="3"/>
      <c r="B27" s="4"/>
      <c r="C27" s="5" t="str">
        <f>IF(A27="","",B27*$B$2)</f>
        <v/>
      </c>
      <c r="D27" s="6" t="str">
        <f>IF(A27="","",VLOOKUP(A27,Base_Donnees!A:F,6,FALSE))</f>
        <v/>
      </c>
      <c r="E27" s="6" t="str">
        <f>IF(A27="","",C27*D27)</f>
        <v/>
      </c>
      <c r="F27" s="7" t="str">
        <f>IF(A27="","",IF(VLOOKUP(A27,Base_Donnees!A:F,3,FALSE)&gt;4000,0,ROUNDUP((C27*1000/VLOOKUP(A27,Base_Donnees!A:F,3,FALSE))*1.5,0)))</f>
        <v/>
      </c>
      <c r="G27" s="4" t="str">
        <f>IF(A27="","",VLOOKUP(A27,Base_Donnees!A:F,4,FALSE))</f>
        <v/>
      </c>
      <c r="H27" s="3" t="str">
        <f>IF(A27="","",VLOOKUP(A27,Base_Donnees!A:F,5,FALSE))</f>
        <v/>
      </c>
    </row>
    <row r="28" spans="1:8" ht="22.15" customHeight="1" x14ac:dyDescent="0.35">
      <c r="A28" s="8"/>
      <c r="B28" s="9"/>
      <c r="C28" s="10" t="str">
        <f>IF(A28="","",B28*$B$2)</f>
        <v/>
      </c>
      <c r="D28" s="11" t="str">
        <f>IF(A28="","",VLOOKUP(A28,Base_Donnees!A:F,6,FALSE))</f>
        <v/>
      </c>
      <c r="E28" s="11" t="str">
        <f>IF(A28="","",C28*D28)</f>
        <v/>
      </c>
      <c r="F28" s="12" t="str">
        <f>IF(A28="","",IF(VLOOKUP(A28,Base_Donnees!A:F,3,FALSE)&gt;4000,0,ROUNDUP((C28*1000/VLOOKUP(A28,Base_Donnees!A:F,3,FALSE))*1.5,0)))</f>
        <v/>
      </c>
      <c r="G28" s="9" t="str">
        <f>IF(A28="","",VLOOKUP(A28,Base_Donnees!A:F,4,FALSE))</f>
        <v/>
      </c>
      <c r="H28" s="8" t="str">
        <f>IF(A28="","",VLOOKUP(A28,Base_Donnees!A:F,5,FALSE))</f>
        <v/>
      </c>
    </row>
    <row r="29" spans="1:8" ht="22.15" customHeight="1" x14ac:dyDescent="0.35">
      <c r="A29" s="3"/>
      <c r="B29" s="4"/>
      <c r="C29" s="5" t="str">
        <f>IF(A29="","",B29*$B$2)</f>
        <v/>
      </c>
      <c r="D29" s="6" t="str">
        <f>IF(A29="","",VLOOKUP(A29,Base_Donnees!A:F,6,FALSE))</f>
        <v/>
      </c>
      <c r="E29" s="6" t="str">
        <f>IF(A29="","",C29*D29)</f>
        <v/>
      </c>
      <c r="F29" s="7" t="str">
        <f>IF(A29="","",IF(VLOOKUP(A29,Base_Donnees!A:F,3,FALSE)&gt;4000,0,ROUNDUP((C29*1000/VLOOKUP(A29,Base_Donnees!A:F,3,FALSE))*1.5,0)))</f>
        <v/>
      </c>
      <c r="G29" s="4" t="str">
        <f>IF(A29="","",VLOOKUP(A29,Base_Donnees!A:F,4,FALSE))</f>
        <v/>
      </c>
      <c r="H29" s="3" t="str">
        <f>IF(A29="","",VLOOKUP(A29,Base_Donnees!A:F,5,FALSE))</f>
        <v/>
      </c>
    </row>
    <row r="31" spans="1:8" ht="16.5" x14ac:dyDescent="0.35">
      <c r="A31" s="33" t="s">
        <v>14</v>
      </c>
      <c r="B31" s="25"/>
      <c r="C31" s="25"/>
      <c r="D31" s="25"/>
      <c r="E31" s="25"/>
      <c r="F31" s="25"/>
      <c r="G31" s="25"/>
      <c r="H31" s="25"/>
    </row>
    <row r="32" spans="1:8" ht="24" customHeight="1" x14ac:dyDescent="0.35">
      <c r="A32" s="2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</row>
    <row r="33" spans="1:8" ht="22.15" customHeight="1" x14ac:dyDescent="0.35">
      <c r="A33" s="3" t="s">
        <v>81</v>
      </c>
      <c r="B33" s="4">
        <v>0.25</v>
      </c>
      <c r="C33" s="5">
        <f>IF(A33="","",B33*$B$2)</f>
        <v>2</v>
      </c>
      <c r="D33" s="6">
        <f>IF(A33="","",VLOOKUP(A33,Base_Donnees!A:F,6,FALSE))</f>
        <v>3450</v>
      </c>
      <c r="E33" s="6">
        <f>IF(A33="","",C33*D33)</f>
        <v>6900</v>
      </c>
      <c r="F33" s="7">
        <f>IF(A33="","",IF(VLOOKUP(A33,Base_Donnees!A:F,3,FALSE)&gt;4000,0,ROUNDUP((C33*1000/VLOOKUP(A33,Base_Donnees!A:F,3,FALSE))*1.5,0)))</f>
        <v>25</v>
      </c>
      <c r="G33" s="4">
        <f>IF(A33="","",VLOOKUP(A33,Base_Donnees!A:F,4,FALSE))</f>
        <v>10</v>
      </c>
      <c r="H33" s="3" t="str">
        <f>IF(A33="","",VLOOKUP(A33,Base_Donnees!A:F,5,FALSE))</f>
        <v>Chélate précieux (EDDHA). Sensible aux UV directs.</v>
      </c>
    </row>
    <row r="34" spans="1:8" ht="22.15" customHeight="1" x14ac:dyDescent="0.35">
      <c r="A34" s="8"/>
      <c r="B34" s="9"/>
      <c r="C34" s="10" t="str">
        <f>IF(A34="","",B34*$B$2)</f>
        <v/>
      </c>
      <c r="D34" s="11" t="str">
        <f>IF(A34="","",VLOOKUP(A34,Base_Donnees!A:F,6,FALSE))</f>
        <v/>
      </c>
      <c r="E34" s="11" t="str">
        <f>IF(A34="","",C34*D34)</f>
        <v/>
      </c>
      <c r="F34" s="12" t="str">
        <f>IF(A34="","",IF(VLOOKUP(A34,Base_Donnees!A:F,3,FALSE)&gt;4000,0,ROUNDUP((C34*1000/VLOOKUP(A34,Base_Donnees!A:F,3,FALSE))*1.5,0)))</f>
        <v/>
      </c>
      <c r="G34" s="9" t="str">
        <f>IF(A34="","",VLOOKUP(A34,Base_Donnees!A:F,4,FALSE))</f>
        <v/>
      </c>
      <c r="H34" s="8" t="str">
        <f>IF(A34="","",VLOOKUP(A34,Base_Donnees!A:F,5,FALSE))</f>
        <v/>
      </c>
    </row>
    <row r="35" spans="1:8" ht="22.15" customHeight="1" x14ac:dyDescent="0.35">
      <c r="A35" s="3"/>
      <c r="B35" s="4"/>
      <c r="C35" s="5" t="str">
        <f>IF(A35="","",B35*$B$2)</f>
        <v/>
      </c>
      <c r="D35" s="6" t="str">
        <f>IF(A35="","",VLOOKUP(A35,Base_Donnees!A:F,6,FALSE))</f>
        <v/>
      </c>
      <c r="E35" s="6" t="str">
        <f>IF(A35="","",C35*D35)</f>
        <v/>
      </c>
      <c r="F35" s="7" t="str">
        <f>IF(A35="","",IF(VLOOKUP(A35,Base_Donnees!A:F,3,FALSE)&gt;4000,0,ROUNDUP((C35*1000/VLOOKUP(A35,Base_Donnees!A:F,3,FALSE))*1.5,0)))</f>
        <v/>
      </c>
      <c r="G35" s="4" t="str">
        <f>IF(A35="","",VLOOKUP(A35,Base_Donnees!A:F,4,FALSE))</f>
        <v/>
      </c>
      <c r="H35" s="3" t="str">
        <f>IF(A35="","",VLOOKUP(A35,Base_Donnees!A:F,5,FALSE))</f>
        <v/>
      </c>
    </row>
    <row r="38" spans="1:8" ht="16" x14ac:dyDescent="0.35">
      <c r="A38" s="24" t="s">
        <v>15</v>
      </c>
      <c r="B38" s="25"/>
      <c r="C38" s="25"/>
      <c r="D38" s="25"/>
      <c r="E38" s="25"/>
      <c r="F38" s="25"/>
    </row>
    <row r="39" spans="1:8" ht="30" customHeight="1" x14ac:dyDescent="0.35">
      <c r="A39" s="13" t="s">
        <v>16</v>
      </c>
      <c r="B39" s="13" t="s">
        <v>17</v>
      </c>
      <c r="C39" s="13" t="s">
        <v>18</v>
      </c>
      <c r="D39" s="13" t="s">
        <v>19</v>
      </c>
      <c r="E39" s="13" t="s">
        <v>20</v>
      </c>
      <c r="F39" s="13" t="s">
        <v>21</v>
      </c>
    </row>
    <row r="40" spans="1:8" ht="22.15" customHeight="1" x14ac:dyDescent="0.35">
      <c r="A40" s="4" t="s">
        <v>22</v>
      </c>
      <c r="B40" s="7">
        <f>SUM(F7:F9)</f>
        <v>250</v>
      </c>
      <c r="C40" s="7">
        <f>B40+SUM(C7:C9)*0.6</f>
        <v>269.2</v>
      </c>
      <c r="D40" s="4" t="str">
        <f>IF(C40&gt;1000,"TROP PLEIN !","OK")</f>
        <v>OK</v>
      </c>
      <c r="E40" s="4">
        <f>IF(B40=0,0,MAX(G7:G9))</f>
        <v>6</v>
      </c>
      <c r="F40" s="6">
        <f>SUM(E7:E9)</f>
        <v>7226.7999999999993</v>
      </c>
    </row>
    <row r="41" spans="1:8" ht="22.15" customHeight="1" x14ac:dyDescent="0.35">
      <c r="A41" s="4" t="s">
        <v>23</v>
      </c>
      <c r="B41" s="7">
        <f>SUM(F13:F23)</f>
        <v>1972</v>
      </c>
      <c r="C41" s="7">
        <f>B41+SUM(C13:C23)*0.6</f>
        <v>2020</v>
      </c>
      <c r="D41" s="4" t="str">
        <f>IF(C41&gt;1000,"TROP PLEIN !","OK")</f>
        <v>TROP PLEIN !</v>
      </c>
      <c r="E41" s="4">
        <f>IF(B41=0,0,MAX(G13:G23))</f>
        <v>15</v>
      </c>
      <c r="F41" s="6">
        <f>SUM(E13:E23)</f>
        <v>24898.76</v>
      </c>
    </row>
    <row r="42" spans="1:8" ht="22.15" customHeight="1" x14ac:dyDescent="0.35">
      <c r="A42" s="4" t="s">
        <v>24</v>
      </c>
      <c r="B42" s="7">
        <f>SUM(F27:F29)</f>
        <v>0</v>
      </c>
      <c r="C42" s="7">
        <f>B42+SUM(C27:C29)*0.6</f>
        <v>0</v>
      </c>
      <c r="D42" s="4" t="str">
        <f>IF(C42&gt;1000,"TROP PLEIN !","OK")</f>
        <v>OK</v>
      </c>
      <c r="E42" s="4">
        <f>IF(B42=0,0,MAX(G27:G29))</f>
        <v>0</v>
      </c>
      <c r="F42" s="6">
        <f>SUM(E27:E29)</f>
        <v>0</v>
      </c>
    </row>
    <row r="43" spans="1:8" ht="22.15" customHeight="1" x14ac:dyDescent="0.35">
      <c r="A43" s="4" t="s">
        <v>25</v>
      </c>
      <c r="B43" s="7">
        <f>SUM(F33:F35)</f>
        <v>25</v>
      </c>
      <c r="C43" s="7">
        <f>B43+SUM(C33:C35)*0.6</f>
        <v>26.2</v>
      </c>
      <c r="D43" s="4" t="str">
        <f>IF(C43&gt;1000,"TROP PLEIN !","OK")</f>
        <v>OK</v>
      </c>
      <c r="E43" s="4">
        <f>IF(B43=0,0,MAX(G33:G35))</f>
        <v>10</v>
      </c>
      <c r="F43" s="6">
        <f>SUM(E33:E35)</f>
        <v>6900</v>
      </c>
    </row>
    <row r="44" spans="1:8" x14ac:dyDescent="0.35">
      <c r="F44" s="26">
        <f>SUM(F40:F43)*E3</f>
        <v>39025.56</v>
      </c>
      <c r="G44" s="25"/>
      <c r="H44" s="25"/>
    </row>
    <row r="45" spans="1:8" x14ac:dyDescent="0.35">
      <c r="F45" s="25"/>
      <c r="G45" s="25"/>
      <c r="H45" s="25"/>
    </row>
  </sheetData>
  <mergeCells count="8">
    <mergeCell ref="A38:F38"/>
    <mergeCell ref="F44:H45"/>
    <mergeCell ref="A1:E1"/>
    <mergeCell ref="F1:H1"/>
    <mergeCell ref="A5:H5"/>
    <mergeCell ref="A11:H11"/>
    <mergeCell ref="A25:H25"/>
    <mergeCell ref="A31:H3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FB80A0EC-D769-42EA-B331-DA8039B0BF7E}">
          <x14:formula1>
            <xm:f>Base_Donnees!$A$2:$A$3</xm:f>
          </x14:formula1>
          <xm:sqref>A7:A9</xm:sqref>
        </x14:dataValidation>
        <x14:dataValidation type="list" allowBlank="1" xr:uid="{854E48C5-4FF3-436A-BB1F-D68DB63FEA64}">
          <x14:formula1>
            <xm:f>Base_Donnees!$A$4:$A$14</xm:f>
          </x14:formula1>
          <xm:sqref>A13:A23</xm:sqref>
        </x14:dataValidation>
        <x14:dataValidation type="list" allowBlank="1" xr:uid="{6099E345-6FB9-474B-94F9-3B46E1F98D85}">
          <x14:formula1>
            <xm:f>Base_Donnees!$A$15:$A$17</xm:f>
          </x14:formula1>
          <xm:sqref>A27:A29</xm:sqref>
        </x14:dataValidation>
        <x14:dataValidation type="list" allowBlank="1" xr:uid="{A12BD66D-9511-4F93-9AC5-E45AE5A438DA}">
          <x14:formula1>
            <xm:f>Base_Donnees!$A$18:$A$19</xm:f>
          </x14:formula1>
          <xm:sqref>A33:A35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C690-28EC-4D0C-A1C0-A860CD069DBD}">
  <dimension ref="A1:J45"/>
  <sheetViews>
    <sheetView tabSelected="1" topLeftCell="G1" workbookViewId="0">
      <selection activeCell="A14" sqref="A14"/>
    </sheetView>
  </sheetViews>
  <sheetFormatPr baseColWidth="10" defaultColWidth="8.90625" defaultRowHeight="14.5" x14ac:dyDescent="0.35"/>
  <cols>
    <col min="1" max="1" width="39.6328125" style="17" customWidth="1"/>
    <col min="2" max="2" width="15.453125" style="17" customWidth="1"/>
    <col min="3" max="3" width="14.26953125" style="17" customWidth="1"/>
    <col min="4" max="4" width="14.54296875" style="17" customWidth="1"/>
    <col min="5" max="5" width="14.90625" style="17" customWidth="1"/>
    <col min="6" max="6" width="13.26953125" style="17" customWidth="1"/>
    <col min="7" max="7" width="14.36328125" style="17" customWidth="1"/>
    <col min="8" max="8" width="68.1796875" style="17" customWidth="1"/>
    <col min="9" max="9" width="16" style="17" customWidth="1"/>
    <col min="10" max="16384" width="8.90625" style="17"/>
  </cols>
  <sheetData>
    <row r="1" spans="1:10" ht="30" customHeight="1" x14ac:dyDescent="0.35">
      <c r="A1" s="27" t="s">
        <v>0</v>
      </c>
      <c r="B1" s="27"/>
      <c r="C1" s="27"/>
      <c r="D1" s="27"/>
      <c r="E1" s="27"/>
      <c r="F1" s="28">
        <f>F44</f>
        <v>11494.28</v>
      </c>
      <c r="G1" s="29"/>
      <c r="H1" s="29"/>
    </row>
    <row r="2" spans="1:10" ht="16" x14ac:dyDescent="0.35">
      <c r="A2" s="18" t="s">
        <v>1</v>
      </c>
      <c r="B2" s="1">
        <v>4</v>
      </c>
    </row>
    <row r="3" spans="1:10" ht="16" x14ac:dyDescent="0.35">
      <c r="A3" s="18" t="s">
        <v>2</v>
      </c>
      <c r="B3" s="20">
        <v>46159</v>
      </c>
    </row>
    <row r="5" spans="1:10" ht="16.5" x14ac:dyDescent="0.35">
      <c r="A5" s="30" t="s">
        <v>3</v>
      </c>
      <c r="B5" s="25"/>
      <c r="C5" s="25"/>
      <c r="D5" s="25"/>
      <c r="E5" s="25"/>
      <c r="F5" s="25"/>
      <c r="G5" s="25"/>
      <c r="H5" s="25"/>
    </row>
    <row r="6" spans="1:10" ht="24" customHeight="1" x14ac:dyDescent="0.3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</row>
    <row r="7" spans="1:10" ht="22.15" customHeight="1" x14ac:dyDescent="0.35">
      <c r="A7" s="15" t="s">
        <v>34</v>
      </c>
      <c r="B7" s="4">
        <v>1</v>
      </c>
      <c r="C7" s="5">
        <f>IF(A7="","",B7*$B$2)</f>
        <v>4</v>
      </c>
      <c r="D7" s="6">
        <f>IF(A7="","",VLOOKUP(A7,Base_Donnees!A:F,6,FALSE))</f>
        <v>378.15</v>
      </c>
      <c r="E7" s="6">
        <f>IF(A7="","",C7*D7)</f>
        <v>1512.6</v>
      </c>
      <c r="F7" s="7">
        <f>IF(A7="","",IF(VLOOKUP(A7,Base_Donnees!A:F,3,FALSE)&gt;4000,0,ROUNDUP((C7*1000/VLOOKUP(A7,Base_Donnees!A:F,3,FALSE))*1.5,0)))</f>
        <v>0</v>
      </c>
      <c r="G7" s="4">
        <f>IF(A7="","",VLOOKUP(A7,Base_Donnees!A:F,4,FALSE))</f>
        <v>1</v>
      </c>
      <c r="H7" s="3" t="str">
        <f>IF(A7="","",VLOOKUP(A7,Base_Donnees!A:F,5,FALSE))</f>
        <v>CORROSIF : Gants + lunettes de protection obligatoires.</v>
      </c>
      <c r="J7" s="17" t="s">
        <v>89</v>
      </c>
    </row>
    <row r="8" spans="1:10" ht="22.15" customHeight="1" x14ac:dyDescent="0.35">
      <c r="A8" s="16"/>
      <c r="B8" s="9"/>
      <c r="C8" s="10" t="str">
        <f>IF(A8="","",B8*$B$2)</f>
        <v/>
      </c>
      <c r="D8" s="11" t="str">
        <f>IF(A8="","",VLOOKUP(A8,Base_Donnees!A:F,6,FALSE))</f>
        <v/>
      </c>
      <c r="E8" s="11" t="str">
        <f>IF(A8="","",C8*D8)</f>
        <v/>
      </c>
      <c r="F8" s="12" t="str">
        <f>IF(A8="","",IF(VLOOKUP(A8,Base_Donnees!A:F,3,FALSE)&gt;4000,0,ROUNDUP((C8*1000/VLOOKUP(A8,Base_Donnees!A:F,3,FALSE))*1.5,0)))</f>
        <v/>
      </c>
      <c r="G8" s="9" t="str">
        <f>IF(A8="","",VLOOKUP(A8,Base_Donnees!A:F,4,FALSE))</f>
        <v/>
      </c>
      <c r="H8" s="8" t="str">
        <f>IF(A8="","",VLOOKUP(A8,Base_Donnees!A:F,5,FALSE))</f>
        <v/>
      </c>
      <c r="J8" s="17" t="s">
        <v>90</v>
      </c>
    </row>
    <row r="9" spans="1:10" ht="22.15" customHeight="1" x14ac:dyDescent="0.35">
      <c r="A9" s="15"/>
      <c r="B9" s="4"/>
      <c r="C9" s="5" t="str">
        <f>IF(A9="","",B9*$B$2)</f>
        <v/>
      </c>
      <c r="D9" s="6" t="str">
        <f>IF(A9="","",VLOOKUP(A9,Base_Donnees!A:F,6,FALSE))</f>
        <v/>
      </c>
      <c r="E9" s="6" t="str">
        <f>IF(A9="","",C9*D9)</f>
        <v/>
      </c>
      <c r="F9" s="7" t="str">
        <f>IF(A9="","",IF(VLOOKUP(A9,Base_Donnees!A:F,3,FALSE)&gt;4000,0,ROUNDUP((C9*1000/VLOOKUP(A9,Base_Donnees!A:F,3,FALSE))*1.5,0)))</f>
        <v/>
      </c>
      <c r="G9" s="4" t="str">
        <f>IF(A9="","",VLOOKUP(A9,Base_Donnees!A:F,4,FALSE))</f>
        <v/>
      </c>
      <c r="H9" s="3" t="str">
        <f>IF(A9="","",VLOOKUP(A9,Base_Donnees!A:F,5,FALSE))</f>
        <v/>
      </c>
      <c r="J9" s="17" t="s">
        <v>91</v>
      </c>
    </row>
    <row r="10" spans="1:10" ht="15.5" x14ac:dyDescent="0.35">
      <c r="A10" s="19"/>
      <c r="J10" s="17" t="s">
        <v>92</v>
      </c>
    </row>
    <row r="11" spans="1:10" ht="16.5" x14ac:dyDescent="0.35">
      <c r="A11" s="31" t="s">
        <v>12</v>
      </c>
      <c r="B11" s="25"/>
      <c r="C11" s="25"/>
      <c r="D11" s="25"/>
      <c r="E11" s="25"/>
      <c r="F11" s="25"/>
      <c r="G11" s="25"/>
      <c r="H11" s="25"/>
      <c r="J11" s="17" t="s">
        <v>93</v>
      </c>
    </row>
    <row r="12" spans="1:10" ht="24" customHeight="1" x14ac:dyDescent="0.35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J12" s="17" t="s">
        <v>94</v>
      </c>
    </row>
    <row r="13" spans="1:10" ht="22.15" customHeight="1" x14ac:dyDescent="0.35">
      <c r="A13" s="3" t="s">
        <v>40</v>
      </c>
      <c r="B13" s="4">
        <v>7</v>
      </c>
      <c r="C13" s="5">
        <f t="shared" ref="C13:C23" si="0">IF(A13="","",B13*$B$2)</f>
        <v>28</v>
      </c>
      <c r="D13" s="6">
        <f>IF(A13="","",VLOOKUP(A13,Base_Donnees!A:F,6,FALSE))</f>
        <v>218.49</v>
      </c>
      <c r="E13" s="6">
        <f t="shared" ref="E13:E23" si="1">IF(A13="","",C13*D13)</f>
        <v>6117.72</v>
      </c>
      <c r="F13" s="7">
        <f>IF(A13="","",IF(VLOOKUP(A13,Base_Donnees!A:F,3,FALSE)&gt;4000,0,ROUNDUP((C13*1000/VLOOKUP(A13,Base_Donnees!A:F,3,FALSE))*1.5,0)))</f>
        <v>1400</v>
      </c>
      <c r="G13" s="4">
        <f>IF(A13="","",VLOOKUP(A13,Base_Donnees!A:F,4,FALSE))</f>
        <v>15</v>
      </c>
      <c r="H13" s="3" t="str">
        <f>IF(A13="","",VLOOKUP(A13,Base_Donnees!A:F,5,FALSE))</f>
        <v>Sensible à l'eau froide du puits. Agitation requise.</v>
      </c>
      <c r="J13" s="17" t="s">
        <v>95</v>
      </c>
    </row>
    <row r="14" spans="1:10" ht="22.15" customHeight="1" x14ac:dyDescent="0.35">
      <c r="A14" s="8" t="s">
        <v>49</v>
      </c>
      <c r="B14" s="9">
        <v>2.5</v>
      </c>
      <c r="C14" s="10">
        <f t="shared" si="0"/>
        <v>10</v>
      </c>
      <c r="D14" s="11">
        <f>IF(A14="","",VLOOKUP(A14,Base_Donnees!A:F,6,FALSE))</f>
        <v>201.7</v>
      </c>
      <c r="E14" s="11">
        <f t="shared" si="1"/>
        <v>2017</v>
      </c>
      <c r="F14" s="12">
        <f>IF(A14="","",IF(VLOOKUP(A14,Base_Donnees!A:F,3,FALSE)&gt;4000,0,ROUNDUP((C14*1000/VLOOKUP(A14,Base_Donnees!A:F,3,FALSE))*1.5,0)))</f>
        <v>600</v>
      </c>
      <c r="G14" s="9">
        <f>IF(A14="","",VLOOKUP(A14,Base_Donnees!A:F,4,FALSE))</f>
        <v>12</v>
      </c>
      <c r="H14" s="8" t="str">
        <f>IF(A14="","",VLOOKUP(A14,Base_Donnees!A:F,5,FALSE))</f>
        <v>Sel d'Epsom. Parfaitement compatible dans le bloc B.</v>
      </c>
      <c r="J14" s="17" t="s">
        <v>96</v>
      </c>
    </row>
    <row r="15" spans="1:10" ht="22.15" customHeight="1" x14ac:dyDescent="0.35">
      <c r="A15" s="3" t="s">
        <v>66</v>
      </c>
      <c r="B15" s="4">
        <v>1</v>
      </c>
      <c r="C15" s="5">
        <f t="shared" si="0"/>
        <v>4</v>
      </c>
      <c r="D15" s="6">
        <f>IF(A15="","",VLOOKUP(A15,Base_Donnees!A:F,6,FALSE))</f>
        <v>461.74</v>
      </c>
      <c r="E15" s="6">
        <f t="shared" si="1"/>
        <v>1846.96</v>
      </c>
      <c r="F15" s="7">
        <f>IF(A15="","",IF(VLOOKUP(A15,Base_Donnees!A:F,3,FALSE)&gt;4000,0,ROUNDUP((C15*1000/VLOOKUP(A15,Base_Donnees!A:F,3,FALSE))*1.5,0)))</f>
        <v>0</v>
      </c>
      <c r="G15" s="4">
        <f>IF(A15="","",VLOOKUP(A15,Base_Donnees!A:F,4,FALSE))</f>
        <v>1</v>
      </c>
      <c r="H15" s="3" t="str">
        <f>IF(A15="","",VLOOKUP(A15,Base_Donnees!A:F,5,FALSE))</f>
        <v>Sécurité : Toujours verser l'acide dans l'eau.</v>
      </c>
      <c r="J15" s="17" t="s">
        <v>97</v>
      </c>
    </row>
    <row r="16" spans="1:10" ht="22.15" customHeight="1" x14ac:dyDescent="0.35">
      <c r="A16" s="8"/>
      <c r="B16" s="9"/>
      <c r="C16" s="10" t="str">
        <f t="shared" si="0"/>
        <v/>
      </c>
      <c r="D16" s="11" t="str">
        <f>IF(A16="","",VLOOKUP(A16,Base_Donnees!A:F,6,FALSE))</f>
        <v/>
      </c>
      <c r="E16" s="11" t="str">
        <f t="shared" si="1"/>
        <v/>
      </c>
      <c r="F16" s="12" t="str">
        <f>IF(A16="","",IF(VLOOKUP(A16,Base_Donnees!A:F,3,FALSE)&gt;4000,0,ROUNDUP((C16*1000/VLOOKUP(A16,Base_Donnees!A:F,3,FALSE))*1.5,0)))</f>
        <v/>
      </c>
      <c r="G16" s="9" t="str">
        <f>IF(A16="","",VLOOKUP(A16,Base_Donnees!A:F,4,FALSE))</f>
        <v/>
      </c>
      <c r="H16" s="8" t="str">
        <f>IF(A16="","",VLOOKUP(A16,Base_Donnees!A:F,5,FALSE))</f>
        <v/>
      </c>
      <c r="J16" s="17" t="s">
        <v>98</v>
      </c>
    </row>
    <row r="17" spans="1:10" ht="22.15" customHeight="1" x14ac:dyDescent="0.35">
      <c r="A17" s="3"/>
      <c r="B17" s="4"/>
      <c r="C17" s="5" t="str">
        <f t="shared" si="0"/>
        <v/>
      </c>
      <c r="D17" s="6" t="str">
        <f>IF(A17="","",VLOOKUP(A17,Base_Donnees!A:F,6,FALSE))</f>
        <v/>
      </c>
      <c r="E17" s="6" t="str">
        <f t="shared" si="1"/>
        <v/>
      </c>
      <c r="F17" s="7" t="str">
        <f>IF(A17="","",IF(VLOOKUP(A17,Base_Donnees!A:F,3,FALSE)&gt;4000,0,ROUNDUP((C17*1000/VLOOKUP(A17,Base_Donnees!A:F,3,FALSE))*1.5,0)))</f>
        <v/>
      </c>
      <c r="G17" s="4" t="str">
        <f>IF(A17="","",VLOOKUP(A17,Base_Donnees!A:F,4,FALSE))</f>
        <v/>
      </c>
      <c r="H17" s="3" t="str">
        <f>IF(A17="","",VLOOKUP(A17,Base_Donnees!A:F,5,FALSE))</f>
        <v/>
      </c>
      <c r="J17" s="17" t="s">
        <v>99</v>
      </c>
    </row>
    <row r="18" spans="1:10" ht="22.15" customHeight="1" x14ac:dyDescent="0.35">
      <c r="A18" s="8"/>
      <c r="B18" s="9"/>
      <c r="C18" s="10" t="str">
        <f t="shared" si="0"/>
        <v/>
      </c>
      <c r="D18" s="11" t="str">
        <f>IF(A18="","",VLOOKUP(A18,Base_Donnees!A:F,6,FALSE))</f>
        <v/>
      </c>
      <c r="E18" s="11" t="str">
        <f t="shared" si="1"/>
        <v/>
      </c>
      <c r="F18" s="12" t="str">
        <f>IF(A18="","",IF(VLOOKUP(A18,Base_Donnees!A:F,3,FALSE)&gt;4000,0,ROUNDUP((C18*1000/VLOOKUP(A18,Base_Donnees!A:F,3,FALSE))*1.5,0)))</f>
        <v/>
      </c>
      <c r="G18" s="9" t="str">
        <f>IF(A18="","",VLOOKUP(A18,Base_Donnees!A:F,4,FALSE))</f>
        <v/>
      </c>
      <c r="H18" s="8" t="str">
        <f>IF(A18="","",VLOOKUP(A18,Base_Donnees!A:F,5,FALSE))</f>
        <v/>
      </c>
    </row>
    <row r="19" spans="1:10" ht="22.15" customHeight="1" x14ac:dyDescent="0.35">
      <c r="A19" s="3"/>
      <c r="B19" s="4"/>
      <c r="C19" s="5" t="str">
        <f t="shared" si="0"/>
        <v/>
      </c>
      <c r="D19" s="6" t="str">
        <f>IF(A19="","",VLOOKUP(A19,Base_Donnees!A:F,6,FALSE))</f>
        <v/>
      </c>
      <c r="E19" s="6" t="str">
        <f t="shared" si="1"/>
        <v/>
      </c>
      <c r="F19" s="7" t="str">
        <f>IF(A19="","",IF(VLOOKUP(A19,Base_Donnees!A:F,3,FALSE)&gt;4000,0,ROUNDUP((C19*1000/VLOOKUP(A19,Base_Donnees!A:F,3,FALSE))*1.5,0)))</f>
        <v/>
      </c>
      <c r="G19" s="4" t="str">
        <f>IF(A19="","",VLOOKUP(A19,Base_Donnees!A:F,4,FALSE))</f>
        <v/>
      </c>
      <c r="H19" s="3" t="str">
        <f>IF(A19="","",VLOOKUP(A19,Base_Donnees!A:F,5,FALSE))</f>
        <v/>
      </c>
    </row>
    <row r="20" spans="1:10" ht="22.15" customHeight="1" x14ac:dyDescent="0.35">
      <c r="A20" s="8"/>
      <c r="B20" s="9"/>
      <c r="C20" s="10" t="str">
        <f t="shared" si="0"/>
        <v/>
      </c>
      <c r="D20" s="11" t="str">
        <f>IF(A20="","",VLOOKUP(A20,Base_Donnees!A:F,6,FALSE))</f>
        <v/>
      </c>
      <c r="E20" s="11" t="str">
        <f t="shared" si="1"/>
        <v/>
      </c>
      <c r="F20" s="12" t="str">
        <f>IF(A20="","",IF(VLOOKUP(A20,Base_Donnees!A:F,3,FALSE)&gt;4000,0,ROUNDUP((C20*1000/VLOOKUP(A20,Base_Donnees!A:F,3,FALSE))*1.5,0)))</f>
        <v/>
      </c>
      <c r="G20" s="9" t="str">
        <f>IF(A20="","",VLOOKUP(A20,Base_Donnees!A:F,4,FALSE))</f>
        <v/>
      </c>
      <c r="H20" s="8" t="str">
        <f>IF(A20="","",VLOOKUP(A20,Base_Donnees!A:F,5,FALSE))</f>
        <v/>
      </c>
    </row>
    <row r="21" spans="1:10" ht="22.15" customHeight="1" x14ac:dyDescent="0.35">
      <c r="A21" s="3"/>
      <c r="B21" s="4"/>
      <c r="C21" s="5" t="str">
        <f t="shared" si="0"/>
        <v/>
      </c>
      <c r="D21" s="6" t="str">
        <f>IF(A21="","",VLOOKUP(A21,Base_Donnees!A:F,6,FALSE))</f>
        <v/>
      </c>
      <c r="E21" s="6" t="str">
        <f t="shared" si="1"/>
        <v/>
      </c>
      <c r="F21" s="7" t="str">
        <f>IF(A21="","",IF(VLOOKUP(A21,Base_Donnees!A:F,3,FALSE)&gt;4000,0,ROUNDUP((C21*1000/VLOOKUP(A21,Base_Donnees!A:F,3,FALSE))*1.5,0)))</f>
        <v/>
      </c>
      <c r="G21" s="4" t="str">
        <f>IF(A21="","",VLOOKUP(A21,Base_Donnees!A:F,4,FALSE))</f>
        <v/>
      </c>
      <c r="H21" s="3" t="str">
        <f>IF(A21="","",VLOOKUP(A21,Base_Donnees!A:F,5,FALSE))</f>
        <v/>
      </c>
    </row>
    <row r="22" spans="1:10" ht="22.15" customHeight="1" x14ac:dyDescent="0.35">
      <c r="A22" s="8"/>
      <c r="B22" s="9"/>
      <c r="C22" s="10" t="str">
        <f t="shared" si="0"/>
        <v/>
      </c>
      <c r="D22" s="11" t="str">
        <f>IF(A22="","",VLOOKUP(A22,Base_Donnees!A:F,6,FALSE))</f>
        <v/>
      </c>
      <c r="E22" s="11" t="str">
        <f t="shared" si="1"/>
        <v/>
      </c>
      <c r="F22" s="12" t="str">
        <f>IF(A22="","",IF(VLOOKUP(A22,Base_Donnees!A:F,3,FALSE)&gt;4000,0,ROUNDUP((C22*1000/VLOOKUP(A22,Base_Donnees!A:F,3,FALSE))*1.5,0)))</f>
        <v/>
      </c>
      <c r="G22" s="9" t="str">
        <f>IF(A22="","",VLOOKUP(A22,Base_Donnees!A:F,4,FALSE))</f>
        <v/>
      </c>
      <c r="H22" s="8" t="str">
        <f>IF(A22="","",VLOOKUP(A22,Base_Donnees!A:F,5,FALSE))</f>
        <v/>
      </c>
    </row>
    <row r="23" spans="1:10" ht="22.15" customHeight="1" x14ac:dyDescent="0.35">
      <c r="A23" s="3"/>
      <c r="B23" s="4"/>
      <c r="C23" s="5" t="str">
        <f t="shared" si="0"/>
        <v/>
      </c>
      <c r="D23" s="6" t="str">
        <f>IF(A23="","",VLOOKUP(A23,Base_Donnees!A:F,6,FALSE))</f>
        <v/>
      </c>
      <c r="E23" s="6" t="str">
        <f t="shared" si="1"/>
        <v/>
      </c>
      <c r="F23" s="7" t="str">
        <f>IF(A23="","",IF(VLOOKUP(A23,Base_Donnees!A:F,3,FALSE)&gt;4000,0,ROUNDUP((C23*1000/VLOOKUP(A23,Base_Donnees!A:F,3,FALSE))*1.5,0)))</f>
        <v/>
      </c>
      <c r="G23" s="4" t="str">
        <f>IF(A23="","",VLOOKUP(A23,Base_Donnees!A:F,4,FALSE))</f>
        <v/>
      </c>
      <c r="H23" s="3" t="str">
        <f>IF(A23="","",VLOOKUP(A23,Base_Donnees!A:F,5,FALSE))</f>
        <v/>
      </c>
    </row>
    <row r="25" spans="1:10" ht="16.5" x14ac:dyDescent="0.35">
      <c r="A25" s="32" t="s">
        <v>13</v>
      </c>
      <c r="B25" s="25"/>
      <c r="C25" s="25"/>
      <c r="D25" s="25"/>
      <c r="E25" s="25"/>
      <c r="F25" s="25"/>
      <c r="G25" s="25"/>
      <c r="H25" s="25"/>
    </row>
    <row r="26" spans="1:10" ht="24" customHeight="1" x14ac:dyDescent="0.35">
      <c r="A26" s="2" t="s">
        <v>4</v>
      </c>
      <c r="B26" s="2" t="s">
        <v>5</v>
      </c>
      <c r="C26" s="2" t="s">
        <v>6</v>
      </c>
      <c r="D26" s="2" t="s">
        <v>7</v>
      </c>
      <c r="E26" s="2" t="s">
        <v>8</v>
      </c>
      <c r="F26" s="2" t="s">
        <v>9</v>
      </c>
      <c r="G26" s="2" t="s">
        <v>10</v>
      </c>
      <c r="H26" s="2" t="s">
        <v>11</v>
      </c>
    </row>
    <row r="27" spans="1:10" ht="22.15" customHeight="1" x14ac:dyDescent="0.35">
      <c r="A27" s="3"/>
      <c r="B27" s="4"/>
      <c r="C27" s="5" t="str">
        <f>IF(A27="","",B27*$B$2)</f>
        <v/>
      </c>
      <c r="D27" s="6" t="str">
        <f>IF(A27="","",VLOOKUP(A27,Base_Donnees!A:F,6,FALSE))</f>
        <v/>
      </c>
      <c r="E27" s="6" t="str">
        <f>IF(A27="","",C27*D27)</f>
        <v/>
      </c>
      <c r="F27" s="7" t="str">
        <f>IF(A27="","",IF(VLOOKUP(A27,Base_Donnees!A:F,3,FALSE)&gt;4000,0,ROUNDUP((C27*1000/VLOOKUP(A27,Base_Donnees!A:F,3,FALSE))*1.5,0)))</f>
        <v/>
      </c>
      <c r="G27" s="4" t="str">
        <f>IF(A27="","",VLOOKUP(A27,Base_Donnees!A:F,4,FALSE))</f>
        <v/>
      </c>
      <c r="H27" s="3" t="str">
        <f>IF(A27="","",VLOOKUP(A27,Base_Donnees!A:F,5,FALSE))</f>
        <v/>
      </c>
    </row>
    <row r="28" spans="1:10" ht="22.15" customHeight="1" x14ac:dyDescent="0.35">
      <c r="A28" s="8"/>
      <c r="B28" s="9"/>
      <c r="C28" s="10" t="str">
        <f>IF(A28="","",B28*$B$2)</f>
        <v/>
      </c>
      <c r="D28" s="11" t="str">
        <f>IF(A28="","",VLOOKUP(A28,Base_Donnees!A:F,6,FALSE))</f>
        <v/>
      </c>
      <c r="E28" s="11" t="str">
        <f>IF(A28="","",C28*D28)</f>
        <v/>
      </c>
      <c r="F28" s="12" t="str">
        <f>IF(A28="","",IF(VLOOKUP(A28,Base_Donnees!A:F,3,FALSE)&gt;4000,0,ROUNDUP((C28*1000/VLOOKUP(A28,Base_Donnees!A:F,3,FALSE))*1.5,0)))</f>
        <v/>
      </c>
      <c r="G28" s="9" t="str">
        <f>IF(A28="","",VLOOKUP(A28,Base_Donnees!A:F,4,FALSE))</f>
        <v/>
      </c>
      <c r="H28" s="8" t="str">
        <f>IF(A28="","",VLOOKUP(A28,Base_Donnees!A:F,5,FALSE))</f>
        <v/>
      </c>
    </row>
    <row r="29" spans="1:10" ht="22.15" customHeight="1" x14ac:dyDescent="0.35">
      <c r="A29" s="3"/>
      <c r="B29" s="4"/>
      <c r="C29" s="5" t="str">
        <f>IF(A29="","",B29*$B$2)</f>
        <v/>
      </c>
      <c r="D29" s="6" t="str">
        <f>IF(A29="","",VLOOKUP(A29,Base_Donnees!A:F,6,FALSE))</f>
        <v/>
      </c>
      <c r="E29" s="6" t="str">
        <f>IF(A29="","",C29*D29)</f>
        <v/>
      </c>
      <c r="F29" s="7" t="str">
        <f>IF(A29="","",IF(VLOOKUP(A29,Base_Donnees!A:F,3,FALSE)&gt;4000,0,ROUNDUP((C29*1000/VLOOKUP(A29,Base_Donnees!A:F,3,FALSE))*1.5,0)))</f>
        <v/>
      </c>
      <c r="G29" s="4" t="str">
        <f>IF(A29="","",VLOOKUP(A29,Base_Donnees!A:F,4,FALSE))</f>
        <v/>
      </c>
      <c r="H29" s="3" t="str">
        <f>IF(A29="","",VLOOKUP(A29,Base_Donnees!A:F,5,FALSE))</f>
        <v/>
      </c>
    </row>
    <row r="31" spans="1:10" ht="16.5" x14ac:dyDescent="0.35">
      <c r="A31" s="33" t="s">
        <v>14</v>
      </c>
      <c r="B31" s="25"/>
      <c r="C31" s="25"/>
      <c r="D31" s="25"/>
      <c r="E31" s="25"/>
      <c r="F31" s="25"/>
      <c r="G31" s="25"/>
      <c r="H31" s="25"/>
    </row>
    <row r="32" spans="1:10" ht="24" customHeight="1" x14ac:dyDescent="0.35">
      <c r="A32" s="2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</row>
    <row r="33" spans="1:8" ht="22.15" customHeight="1" x14ac:dyDescent="0.35">
      <c r="A33" s="3"/>
      <c r="B33" s="4"/>
      <c r="C33" s="5" t="str">
        <f>IF(A33="","",B33*$B$2)</f>
        <v/>
      </c>
      <c r="D33" s="6" t="str">
        <f>IF(A33="","",VLOOKUP(A33,Base_Donnees!A:F,6,FALSE))</f>
        <v/>
      </c>
      <c r="E33" s="6" t="str">
        <f>IF(A33="","",C33*D33)</f>
        <v/>
      </c>
      <c r="F33" s="7" t="str">
        <f>IF(A33="","",IF(VLOOKUP(A33,Base_Donnees!A:F,3,FALSE)&gt;4000,0,ROUNDUP((C33*1000/VLOOKUP(A33,Base_Donnees!A:F,3,FALSE))*1.5,0)))</f>
        <v/>
      </c>
      <c r="G33" s="4" t="str">
        <f>IF(A33="","",VLOOKUP(A33,Base_Donnees!A:F,4,FALSE))</f>
        <v/>
      </c>
      <c r="H33" s="3" t="str">
        <f>IF(A33="","",VLOOKUP(A33,Base_Donnees!A:F,5,FALSE))</f>
        <v/>
      </c>
    </row>
    <row r="34" spans="1:8" ht="22.15" customHeight="1" x14ac:dyDescent="0.35">
      <c r="A34" s="8"/>
      <c r="B34" s="9"/>
      <c r="C34" s="10" t="str">
        <f>IF(A34="","",B34*$B$2)</f>
        <v/>
      </c>
      <c r="D34" s="11" t="str">
        <f>IF(A34="","",VLOOKUP(A34,Base_Donnees!A:F,6,FALSE))</f>
        <v/>
      </c>
      <c r="E34" s="11" t="str">
        <f>IF(A34="","",C34*D34)</f>
        <v/>
      </c>
      <c r="F34" s="12" t="str">
        <f>IF(A34="","",IF(VLOOKUP(A34,Base_Donnees!A:F,3,FALSE)&gt;4000,0,ROUNDUP((C34*1000/VLOOKUP(A34,Base_Donnees!A:F,3,FALSE))*1.5,0)))</f>
        <v/>
      </c>
      <c r="G34" s="9" t="str">
        <f>IF(A34="","",VLOOKUP(A34,Base_Donnees!A:F,4,FALSE))</f>
        <v/>
      </c>
      <c r="H34" s="8" t="str">
        <f>IF(A34="","",VLOOKUP(A34,Base_Donnees!A:F,5,FALSE))</f>
        <v/>
      </c>
    </row>
    <row r="35" spans="1:8" ht="22.15" customHeight="1" x14ac:dyDescent="0.35">
      <c r="A35" s="3"/>
      <c r="B35" s="4"/>
      <c r="C35" s="5" t="str">
        <f>IF(A35="","",B35*$B$2)</f>
        <v/>
      </c>
      <c r="D35" s="6" t="str">
        <f>IF(A35="","",VLOOKUP(A35,Base_Donnees!A:F,6,FALSE))</f>
        <v/>
      </c>
      <c r="E35" s="6" t="str">
        <f>IF(A35="","",C35*D35)</f>
        <v/>
      </c>
      <c r="F35" s="7" t="str">
        <f>IF(A35="","",IF(VLOOKUP(A35,Base_Donnees!A:F,3,FALSE)&gt;4000,0,ROUNDUP((C35*1000/VLOOKUP(A35,Base_Donnees!A:F,3,FALSE))*1.5,0)))</f>
        <v/>
      </c>
      <c r="G35" s="4" t="str">
        <f>IF(A35="","",VLOOKUP(A35,Base_Donnees!A:F,4,FALSE))</f>
        <v/>
      </c>
      <c r="H35" s="3" t="str">
        <f>IF(A35="","",VLOOKUP(A35,Base_Donnees!A:F,5,FALSE))</f>
        <v/>
      </c>
    </row>
    <row r="38" spans="1:8" ht="16" x14ac:dyDescent="0.35">
      <c r="A38" s="24" t="s">
        <v>15</v>
      </c>
      <c r="B38" s="25"/>
      <c r="C38" s="25"/>
      <c r="D38" s="25"/>
      <c r="E38" s="25"/>
      <c r="F38" s="25"/>
    </row>
    <row r="39" spans="1:8" ht="30" customHeight="1" x14ac:dyDescent="0.35">
      <c r="A39" s="13" t="s">
        <v>16</v>
      </c>
      <c r="B39" s="13" t="s">
        <v>17</v>
      </c>
      <c r="C39" s="13" t="s">
        <v>18</v>
      </c>
      <c r="D39" s="13" t="s">
        <v>19</v>
      </c>
      <c r="E39" s="13" t="s">
        <v>20</v>
      </c>
      <c r="F39" s="13" t="s">
        <v>21</v>
      </c>
    </row>
    <row r="40" spans="1:8" ht="22.15" customHeight="1" x14ac:dyDescent="0.35">
      <c r="A40" s="4" t="s">
        <v>22</v>
      </c>
      <c r="B40" s="7">
        <f>SUM(F7:F9)</f>
        <v>0</v>
      </c>
      <c r="C40" s="7">
        <f>B40+SUM(C7:C9)*0.6</f>
        <v>2.4</v>
      </c>
      <c r="D40" s="4" t="str">
        <f>IF(C40&gt;1000,"TROP PLEIN !","OK")</f>
        <v>OK</v>
      </c>
      <c r="E40" s="4">
        <f>IF(B40=0,0,MAX(G7:G9))</f>
        <v>0</v>
      </c>
      <c r="F40" s="6">
        <f>SUM(E7:E9)</f>
        <v>1512.6</v>
      </c>
    </row>
    <row r="41" spans="1:8" ht="22.15" customHeight="1" x14ac:dyDescent="0.35">
      <c r="A41" s="4" t="s">
        <v>23</v>
      </c>
      <c r="B41" s="7">
        <f>SUM(F13:F23)</f>
        <v>2000</v>
      </c>
      <c r="C41" s="7">
        <f>B41+SUM(C13:C23)*0.6</f>
        <v>2025.2</v>
      </c>
      <c r="D41" s="4" t="str">
        <f>IF(C41&gt;1000,"TROP PLEIN !","OK")</f>
        <v>TROP PLEIN !</v>
      </c>
      <c r="E41" s="4">
        <f>IF(B41=0,0,MAX(G13:G23))</f>
        <v>15</v>
      </c>
      <c r="F41" s="6">
        <f>SUM(E13:E23)</f>
        <v>9981.68</v>
      </c>
    </row>
    <row r="42" spans="1:8" ht="22.15" customHeight="1" x14ac:dyDescent="0.35">
      <c r="A42" s="4" t="s">
        <v>24</v>
      </c>
      <c r="B42" s="7">
        <f>SUM(F27:F29)</f>
        <v>0</v>
      </c>
      <c r="C42" s="7">
        <f>B42+SUM(C27:C29)*0.6</f>
        <v>0</v>
      </c>
      <c r="D42" s="4" t="str">
        <f>IF(C42&gt;1000,"TROP PLEIN !","OK")</f>
        <v>OK</v>
      </c>
      <c r="E42" s="4">
        <f>IF(B42=0,0,MAX(G27:G29))</f>
        <v>0</v>
      </c>
      <c r="F42" s="6">
        <f>SUM(E27:E29)</f>
        <v>0</v>
      </c>
    </row>
    <row r="43" spans="1:8" ht="22.15" customHeight="1" x14ac:dyDescent="0.35">
      <c r="A43" s="4" t="s">
        <v>25</v>
      </c>
      <c r="B43" s="7">
        <f>SUM(F33:F35)</f>
        <v>0</v>
      </c>
      <c r="C43" s="7">
        <f>B43+SUM(C33:C35)*0.6</f>
        <v>0</v>
      </c>
      <c r="D43" s="4" t="str">
        <f>IF(C43&gt;1000,"TROP PLEIN !","OK")</f>
        <v>OK</v>
      </c>
      <c r="E43" s="4">
        <f>IF(B43=0,0,MAX(G33:G35))</f>
        <v>0</v>
      </c>
      <c r="F43" s="6">
        <f>SUM(E33:E35)</f>
        <v>0</v>
      </c>
    </row>
    <row r="44" spans="1:8" x14ac:dyDescent="0.35">
      <c r="F44" s="26">
        <f>SUM(F40:F43)</f>
        <v>11494.28</v>
      </c>
      <c r="G44" s="25"/>
      <c r="H44" s="25"/>
    </row>
    <row r="45" spans="1:8" x14ac:dyDescent="0.35">
      <c r="F45" s="25"/>
      <c r="G45" s="25"/>
      <c r="H45" s="25"/>
    </row>
  </sheetData>
  <mergeCells count="8">
    <mergeCell ref="A38:F38"/>
    <mergeCell ref="F44:H45"/>
    <mergeCell ref="A1:E1"/>
    <mergeCell ref="F1:H1"/>
    <mergeCell ref="A5:H5"/>
    <mergeCell ref="A11:H11"/>
    <mergeCell ref="A25:H25"/>
    <mergeCell ref="A31:H3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ECF734BD-77D6-40C1-928E-D7A607C01FD3}">
          <x14:formula1>
            <xm:f>Base_Donnees!$A$2:$A$3</xm:f>
          </x14:formula1>
          <xm:sqref>A7:A9</xm:sqref>
        </x14:dataValidation>
        <x14:dataValidation type="list" allowBlank="1" xr:uid="{06E553D1-F835-4903-B5BB-65AD3D749841}">
          <x14:formula1>
            <xm:f>Base_Donnees!$A$4:$A$14</xm:f>
          </x14:formula1>
          <xm:sqref>A13:A23</xm:sqref>
        </x14:dataValidation>
        <x14:dataValidation type="list" allowBlank="1" xr:uid="{D5C8351E-7B61-4BA8-9AF8-686AD22C3C4A}">
          <x14:formula1>
            <xm:f>Base_Donnees!$A$15:$A$17</xm:f>
          </x14:formula1>
          <xm:sqref>A27:A29</xm:sqref>
        </x14:dataValidation>
        <x14:dataValidation type="list" allowBlank="1" xr:uid="{6E4724FD-36BE-4F6B-B771-36FCC461BC2F}">
          <x14:formula1>
            <xm:f>Base_Donnees!$A$18:$A$19</xm:f>
          </x14:formula1>
          <xm:sqref>A33:A35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3AAB-2887-4BF3-9EF3-14D69855DC03}">
  <dimension ref="A1:H45"/>
  <sheetViews>
    <sheetView workbookViewId="0">
      <selection activeCell="A47" sqref="A47"/>
    </sheetView>
  </sheetViews>
  <sheetFormatPr baseColWidth="10" defaultColWidth="8.90625" defaultRowHeight="14.5" x14ac:dyDescent="0.35"/>
  <cols>
    <col min="1" max="1" width="39.6328125" style="17" customWidth="1"/>
    <col min="2" max="2" width="15.453125" style="17" customWidth="1"/>
    <col min="3" max="3" width="14.26953125" style="17" customWidth="1"/>
    <col min="4" max="4" width="14.54296875" style="17" customWidth="1"/>
    <col min="5" max="5" width="14.90625" style="17" customWidth="1"/>
    <col min="6" max="6" width="13.26953125" style="17" customWidth="1"/>
    <col min="7" max="7" width="14.36328125" style="17" customWidth="1"/>
    <col min="8" max="8" width="68.1796875" style="17" customWidth="1"/>
    <col min="9" max="9" width="16" style="17" customWidth="1"/>
    <col min="10" max="16384" width="8.90625" style="17"/>
  </cols>
  <sheetData>
    <row r="1" spans="1:8" ht="30" customHeight="1" x14ac:dyDescent="0.35">
      <c r="A1" s="27" t="s">
        <v>0</v>
      </c>
      <c r="B1" s="27"/>
      <c r="C1" s="27"/>
      <c r="D1" s="27"/>
      <c r="E1" s="27"/>
      <c r="F1" s="28">
        <f>F44</f>
        <v>0</v>
      </c>
      <c r="G1" s="29"/>
      <c r="H1" s="29"/>
    </row>
    <row r="2" spans="1:8" ht="16" x14ac:dyDescent="0.35">
      <c r="A2" s="18" t="s">
        <v>1</v>
      </c>
      <c r="B2" s="1">
        <v>1</v>
      </c>
    </row>
    <row r="3" spans="1:8" ht="16" x14ac:dyDescent="0.35">
      <c r="A3" s="18" t="s">
        <v>2</v>
      </c>
      <c r="B3" s="20">
        <v>46159</v>
      </c>
    </row>
    <row r="5" spans="1:8" ht="16.5" x14ac:dyDescent="0.35">
      <c r="A5" s="30" t="s">
        <v>3</v>
      </c>
      <c r="B5" s="25"/>
      <c r="C5" s="25"/>
      <c r="D5" s="25"/>
      <c r="E5" s="25"/>
      <c r="F5" s="25"/>
      <c r="G5" s="25"/>
      <c r="H5" s="25"/>
    </row>
    <row r="6" spans="1:8" ht="24" customHeight="1" x14ac:dyDescent="0.3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</row>
    <row r="7" spans="1:8" ht="22.15" customHeight="1" x14ac:dyDescent="0.35">
      <c r="A7" s="15"/>
      <c r="B7" s="4"/>
      <c r="C7" s="5" t="str">
        <f>IF(A7="","",B7*$B$2)</f>
        <v/>
      </c>
      <c r="D7" s="6" t="str">
        <f>IF(A7="","",VLOOKUP(A7,Base_Donnees!A:F,6,FALSE))</f>
        <v/>
      </c>
      <c r="E7" s="6" t="str">
        <f>IF(A7="","",C7*D7)</f>
        <v/>
      </c>
      <c r="F7" s="7" t="str">
        <f>IF(A7="","",IF(VLOOKUP(A7,Base_Donnees!A:F,3,FALSE)&gt;4000,0,ROUNDUP((C7*1000/VLOOKUP(A7,Base_Donnees!A:F,3,FALSE))*1.5,0)))</f>
        <v/>
      </c>
      <c r="G7" s="4" t="str">
        <f>IF(A7="","",VLOOKUP(A7,Base_Donnees!A:F,4,FALSE))</f>
        <v/>
      </c>
      <c r="H7" s="3" t="str">
        <f>IF(A7="","",VLOOKUP(A7,Base_Donnees!A:F,5,FALSE))</f>
        <v/>
      </c>
    </row>
    <row r="8" spans="1:8" ht="22.15" customHeight="1" x14ac:dyDescent="0.35">
      <c r="A8" s="16"/>
      <c r="B8" s="9"/>
      <c r="C8" s="10" t="str">
        <f>IF(A8="","",B8*$B$2)</f>
        <v/>
      </c>
      <c r="D8" s="11" t="str">
        <f>IF(A8="","",VLOOKUP(A8,Base_Donnees!A:F,6,FALSE))</f>
        <v/>
      </c>
      <c r="E8" s="11" t="str">
        <f>IF(A8="","",C8*D8)</f>
        <v/>
      </c>
      <c r="F8" s="12" t="str">
        <f>IF(A8="","",IF(VLOOKUP(A8,Base_Donnees!A:F,3,FALSE)&gt;4000,0,ROUNDUP((C8*1000/VLOOKUP(A8,Base_Donnees!A:F,3,FALSE))*1.5,0)))</f>
        <v/>
      </c>
      <c r="G8" s="9" t="str">
        <f>IF(A8="","",VLOOKUP(A8,Base_Donnees!A:F,4,FALSE))</f>
        <v/>
      </c>
      <c r="H8" s="8" t="str">
        <f>IF(A8="","",VLOOKUP(A8,Base_Donnees!A:F,5,FALSE))</f>
        <v/>
      </c>
    </row>
    <row r="9" spans="1:8" ht="22.15" customHeight="1" x14ac:dyDescent="0.35">
      <c r="A9" s="15"/>
      <c r="B9" s="4"/>
      <c r="C9" s="5" t="str">
        <f>IF(A9="","",B9*$B$2)</f>
        <v/>
      </c>
      <c r="D9" s="6" t="str">
        <f>IF(A9="","",VLOOKUP(A9,Base_Donnees!A:F,6,FALSE))</f>
        <v/>
      </c>
      <c r="E9" s="6" t="str">
        <f>IF(A9="","",C9*D9)</f>
        <v/>
      </c>
      <c r="F9" s="7" t="str">
        <f>IF(A9="","",IF(VLOOKUP(A9,Base_Donnees!A:F,3,FALSE)&gt;4000,0,ROUNDUP((C9*1000/VLOOKUP(A9,Base_Donnees!A:F,3,FALSE))*1.5,0)))</f>
        <v/>
      </c>
      <c r="G9" s="4" t="str">
        <f>IF(A9="","",VLOOKUP(A9,Base_Donnees!A:F,4,FALSE))</f>
        <v/>
      </c>
      <c r="H9" s="3" t="str">
        <f>IF(A9="","",VLOOKUP(A9,Base_Donnees!A:F,5,FALSE))</f>
        <v/>
      </c>
    </row>
    <row r="10" spans="1:8" ht="15.5" x14ac:dyDescent="0.35">
      <c r="A10" s="19"/>
    </row>
    <row r="11" spans="1:8" ht="16.5" x14ac:dyDescent="0.35">
      <c r="A11" s="31" t="s">
        <v>12</v>
      </c>
      <c r="B11" s="25"/>
      <c r="C11" s="25"/>
      <c r="D11" s="25"/>
      <c r="E11" s="25"/>
      <c r="F11" s="25"/>
      <c r="G11" s="25"/>
      <c r="H11" s="25"/>
    </row>
    <row r="12" spans="1:8" ht="24" customHeight="1" x14ac:dyDescent="0.35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</row>
    <row r="13" spans="1:8" ht="22.15" customHeight="1" x14ac:dyDescent="0.35">
      <c r="A13" s="3"/>
      <c r="B13" s="4"/>
      <c r="C13" s="5" t="str">
        <f t="shared" ref="C13:C23" si="0">IF(A13="","",B13*$B$2)</f>
        <v/>
      </c>
      <c r="D13" s="6" t="str">
        <f>IF(A13="","",VLOOKUP(A13,Base_Donnees!A:F,6,FALSE))</f>
        <v/>
      </c>
      <c r="E13" s="6" t="str">
        <f t="shared" ref="E13:E23" si="1">IF(A13="","",C13*D13)</f>
        <v/>
      </c>
      <c r="F13" s="7" t="str">
        <f>IF(A13="","",IF(VLOOKUP(A13,Base_Donnees!A:F,3,FALSE)&gt;4000,0,ROUNDUP((C13*1000/VLOOKUP(A13,Base_Donnees!A:F,3,FALSE))*1.5,0)))</f>
        <v/>
      </c>
      <c r="G13" s="4" t="str">
        <f>IF(A13="","",VLOOKUP(A13,Base_Donnees!A:F,4,FALSE))</f>
        <v/>
      </c>
      <c r="H13" s="3" t="str">
        <f>IF(A13="","",VLOOKUP(A13,Base_Donnees!A:F,5,FALSE))</f>
        <v/>
      </c>
    </row>
    <row r="14" spans="1:8" ht="22.15" customHeight="1" x14ac:dyDescent="0.35">
      <c r="A14" s="8"/>
      <c r="B14" s="9"/>
      <c r="C14" s="10" t="str">
        <f t="shared" si="0"/>
        <v/>
      </c>
      <c r="D14" s="11" t="str">
        <f>IF(A14="","",VLOOKUP(A14,Base_Donnees!A:F,6,FALSE))</f>
        <v/>
      </c>
      <c r="E14" s="11" t="str">
        <f t="shared" si="1"/>
        <v/>
      </c>
      <c r="F14" s="12" t="str">
        <f>IF(A14="","",IF(VLOOKUP(A14,Base_Donnees!A:F,3,FALSE)&gt;4000,0,ROUNDUP((C14*1000/VLOOKUP(A14,Base_Donnees!A:F,3,FALSE))*1.5,0)))</f>
        <v/>
      </c>
      <c r="G14" s="9" t="str">
        <f>IF(A14="","",VLOOKUP(A14,Base_Donnees!A:F,4,FALSE))</f>
        <v/>
      </c>
      <c r="H14" s="8" t="str">
        <f>IF(A14="","",VLOOKUP(A14,Base_Donnees!A:F,5,FALSE))</f>
        <v/>
      </c>
    </row>
    <row r="15" spans="1:8" ht="22.15" customHeight="1" x14ac:dyDescent="0.35">
      <c r="A15" s="3"/>
      <c r="B15" s="4"/>
      <c r="C15" s="5" t="str">
        <f t="shared" si="0"/>
        <v/>
      </c>
      <c r="D15" s="6" t="str">
        <f>IF(A15="","",VLOOKUP(A15,Base_Donnees!A:F,6,FALSE))</f>
        <v/>
      </c>
      <c r="E15" s="6" t="str">
        <f t="shared" si="1"/>
        <v/>
      </c>
      <c r="F15" s="7" t="str">
        <f>IF(A15="","",IF(VLOOKUP(A15,Base_Donnees!A:F,3,FALSE)&gt;4000,0,ROUNDUP((C15*1000/VLOOKUP(A15,Base_Donnees!A:F,3,FALSE))*1.5,0)))</f>
        <v/>
      </c>
      <c r="G15" s="4" t="str">
        <f>IF(A15="","",VLOOKUP(A15,Base_Donnees!A:F,4,FALSE))</f>
        <v/>
      </c>
      <c r="H15" s="3" t="str">
        <f>IF(A15="","",VLOOKUP(A15,Base_Donnees!A:F,5,FALSE))</f>
        <v/>
      </c>
    </row>
    <row r="16" spans="1:8" ht="22.15" customHeight="1" x14ac:dyDescent="0.35">
      <c r="A16" s="8"/>
      <c r="B16" s="9"/>
      <c r="C16" s="10" t="str">
        <f t="shared" si="0"/>
        <v/>
      </c>
      <c r="D16" s="11" t="str">
        <f>IF(A16="","",VLOOKUP(A16,Base_Donnees!A:F,6,FALSE))</f>
        <v/>
      </c>
      <c r="E16" s="11" t="str">
        <f t="shared" si="1"/>
        <v/>
      </c>
      <c r="F16" s="12" t="str">
        <f>IF(A16="","",IF(VLOOKUP(A16,Base_Donnees!A:F,3,FALSE)&gt;4000,0,ROUNDUP((C16*1000/VLOOKUP(A16,Base_Donnees!A:F,3,FALSE))*1.5,0)))</f>
        <v/>
      </c>
      <c r="G16" s="9" t="str">
        <f>IF(A16="","",VLOOKUP(A16,Base_Donnees!A:F,4,FALSE))</f>
        <v/>
      </c>
      <c r="H16" s="8" t="str">
        <f>IF(A16="","",VLOOKUP(A16,Base_Donnees!A:F,5,FALSE))</f>
        <v/>
      </c>
    </row>
    <row r="17" spans="1:8" ht="22.15" customHeight="1" x14ac:dyDescent="0.35">
      <c r="A17" s="3"/>
      <c r="B17" s="4"/>
      <c r="C17" s="5" t="str">
        <f t="shared" si="0"/>
        <v/>
      </c>
      <c r="D17" s="6" t="str">
        <f>IF(A17="","",VLOOKUP(A17,Base_Donnees!A:F,6,FALSE))</f>
        <v/>
      </c>
      <c r="E17" s="6" t="str">
        <f t="shared" si="1"/>
        <v/>
      </c>
      <c r="F17" s="7" t="str">
        <f>IF(A17="","",IF(VLOOKUP(A17,Base_Donnees!A:F,3,FALSE)&gt;4000,0,ROUNDUP((C17*1000/VLOOKUP(A17,Base_Donnees!A:F,3,FALSE))*1.5,0)))</f>
        <v/>
      </c>
      <c r="G17" s="4" t="str">
        <f>IF(A17="","",VLOOKUP(A17,Base_Donnees!A:F,4,FALSE))</f>
        <v/>
      </c>
      <c r="H17" s="3" t="str">
        <f>IF(A17="","",VLOOKUP(A17,Base_Donnees!A:F,5,FALSE))</f>
        <v/>
      </c>
    </row>
    <row r="18" spans="1:8" ht="22.15" customHeight="1" x14ac:dyDescent="0.35">
      <c r="A18" s="8"/>
      <c r="B18" s="9"/>
      <c r="C18" s="10" t="str">
        <f t="shared" si="0"/>
        <v/>
      </c>
      <c r="D18" s="11" t="str">
        <f>IF(A18="","",VLOOKUP(A18,Base_Donnees!A:F,6,FALSE))</f>
        <v/>
      </c>
      <c r="E18" s="11" t="str">
        <f t="shared" si="1"/>
        <v/>
      </c>
      <c r="F18" s="12" t="str">
        <f>IF(A18="","",IF(VLOOKUP(A18,Base_Donnees!A:F,3,FALSE)&gt;4000,0,ROUNDUP((C18*1000/VLOOKUP(A18,Base_Donnees!A:F,3,FALSE))*1.5,0)))</f>
        <v/>
      </c>
      <c r="G18" s="9" t="str">
        <f>IF(A18="","",VLOOKUP(A18,Base_Donnees!A:F,4,FALSE))</f>
        <v/>
      </c>
      <c r="H18" s="8" t="str">
        <f>IF(A18="","",VLOOKUP(A18,Base_Donnees!A:F,5,FALSE))</f>
        <v/>
      </c>
    </row>
    <row r="19" spans="1:8" ht="22.15" customHeight="1" x14ac:dyDescent="0.35">
      <c r="A19" s="3"/>
      <c r="B19" s="4"/>
      <c r="C19" s="5" t="str">
        <f t="shared" si="0"/>
        <v/>
      </c>
      <c r="D19" s="6" t="str">
        <f>IF(A19="","",VLOOKUP(A19,Base_Donnees!A:F,6,FALSE))</f>
        <v/>
      </c>
      <c r="E19" s="6" t="str">
        <f t="shared" si="1"/>
        <v/>
      </c>
      <c r="F19" s="7" t="str">
        <f>IF(A19="","",IF(VLOOKUP(A19,Base_Donnees!A:F,3,FALSE)&gt;4000,0,ROUNDUP((C19*1000/VLOOKUP(A19,Base_Donnees!A:F,3,FALSE))*1.5,0)))</f>
        <v/>
      </c>
      <c r="G19" s="4" t="str">
        <f>IF(A19="","",VLOOKUP(A19,Base_Donnees!A:F,4,FALSE))</f>
        <v/>
      </c>
      <c r="H19" s="3" t="str">
        <f>IF(A19="","",VLOOKUP(A19,Base_Donnees!A:F,5,FALSE))</f>
        <v/>
      </c>
    </row>
    <row r="20" spans="1:8" ht="22.15" customHeight="1" x14ac:dyDescent="0.35">
      <c r="A20" s="8"/>
      <c r="B20" s="9"/>
      <c r="C20" s="10" t="str">
        <f t="shared" si="0"/>
        <v/>
      </c>
      <c r="D20" s="11" t="str">
        <f>IF(A20="","",VLOOKUP(A20,Base_Donnees!A:F,6,FALSE))</f>
        <v/>
      </c>
      <c r="E20" s="11" t="str">
        <f t="shared" si="1"/>
        <v/>
      </c>
      <c r="F20" s="12" t="str">
        <f>IF(A20="","",IF(VLOOKUP(A20,Base_Donnees!A:F,3,FALSE)&gt;4000,0,ROUNDUP((C20*1000/VLOOKUP(A20,Base_Donnees!A:F,3,FALSE))*1.5,0)))</f>
        <v/>
      </c>
      <c r="G20" s="9" t="str">
        <f>IF(A20="","",VLOOKUP(A20,Base_Donnees!A:F,4,FALSE))</f>
        <v/>
      </c>
      <c r="H20" s="8" t="str">
        <f>IF(A20="","",VLOOKUP(A20,Base_Donnees!A:F,5,FALSE))</f>
        <v/>
      </c>
    </row>
    <row r="21" spans="1:8" ht="22.15" customHeight="1" x14ac:dyDescent="0.35">
      <c r="A21" s="3"/>
      <c r="B21" s="4"/>
      <c r="C21" s="5" t="str">
        <f t="shared" si="0"/>
        <v/>
      </c>
      <c r="D21" s="6" t="str">
        <f>IF(A21="","",VLOOKUP(A21,Base_Donnees!A:F,6,FALSE))</f>
        <v/>
      </c>
      <c r="E21" s="6" t="str">
        <f t="shared" si="1"/>
        <v/>
      </c>
      <c r="F21" s="7" t="str">
        <f>IF(A21="","",IF(VLOOKUP(A21,Base_Donnees!A:F,3,FALSE)&gt;4000,0,ROUNDUP((C21*1000/VLOOKUP(A21,Base_Donnees!A:F,3,FALSE))*1.5,0)))</f>
        <v/>
      </c>
      <c r="G21" s="4" t="str">
        <f>IF(A21="","",VLOOKUP(A21,Base_Donnees!A:F,4,FALSE))</f>
        <v/>
      </c>
      <c r="H21" s="3" t="str">
        <f>IF(A21="","",VLOOKUP(A21,Base_Donnees!A:F,5,FALSE))</f>
        <v/>
      </c>
    </row>
    <row r="22" spans="1:8" ht="22.15" customHeight="1" x14ac:dyDescent="0.35">
      <c r="A22" s="8"/>
      <c r="B22" s="9"/>
      <c r="C22" s="10" t="str">
        <f t="shared" si="0"/>
        <v/>
      </c>
      <c r="D22" s="11" t="str">
        <f>IF(A22="","",VLOOKUP(A22,Base_Donnees!A:F,6,FALSE))</f>
        <v/>
      </c>
      <c r="E22" s="11" t="str">
        <f t="shared" si="1"/>
        <v/>
      </c>
      <c r="F22" s="12" t="str">
        <f>IF(A22="","",IF(VLOOKUP(A22,Base_Donnees!A:F,3,FALSE)&gt;4000,0,ROUNDUP((C22*1000/VLOOKUP(A22,Base_Donnees!A:F,3,FALSE))*1.5,0)))</f>
        <v/>
      </c>
      <c r="G22" s="9" t="str">
        <f>IF(A22="","",VLOOKUP(A22,Base_Donnees!A:F,4,FALSE))</f>
        <v/>
      </c>
      <c r="H22" s="8" t="str">
        <f>IF(A22="","",VLOOKUP(A22,Base_Donnees!A:F,5,FALSE))</f>
        <v/>
      </c>
    </row>
    <row r="23" spans="1:8" ht="22.15" customHeight="1" x14ac:dyDescent="0.35">
      <c r="A23" s="3"/>
      <c r="B23" s="4"/>
      <c r="C23" s="5" t="str">
        <f t="shared" si="0"/>
        <v/>
      </c>
      <c r="D23" s="6" t="str">
        <f>IF(A23="","",VLOOKUP(A23,Base_Donnees!A:F,6,FALSE))</f>
        <v/>
      </c>
      <c r="E23" s="6" t="str">
        <f t="shared" si="1"/>
        <v/>
      </c>
      <c r="F23" s="7" t="str">
        <f>IF(A23="","",IF(VLOOKUP(A23,Base_Donnees!A:F,3,FALSE)&gt;4000,0,ROUNDUP((C23*1000/VLOOKUP(A23,Base_Donnees!A:F,3,FALSE))*1.5,0)))</f>
        <v/>
      </c>
      <c r="G23" s="4" t="str">
        <f>IF(A23="","",VLOOKUP(A23,Base_Donnees!A:F,4,FALSE))</f>
        <v/>
      </c>
      <c r="H23" s="3" t="str">
        <f>IF(A23="","",VLOOKUP(A23,Base_Donnees!A:F,5,FALSE))</f>
        <v/>
      </c>
    </row>
    <row r="25" spans="1:8" ht="16.5" x14ac:dyDescent="0.35">
      <c r="A25" s="32" t="s">
        <v>13</v>
      </c>
      <c r="B25" s="25"/>
      <c r="C25" s="25"/>
      <c r="D25" s="25"/>
      <c r="E25" s="25"/>
      <c r="F25" s="25"/>
      <c r="G25" s="25"/>
      <c r="H25" s="25"/>
    </row>
    <row r="26" spans="1:8" ht="24" customHeight="1" x14ac:dyDescent="0.35">
      <c r="A26" s="2" t="s">
        <v>4</v>
      </c>
      <c r="B26" s="2" t="s">
        <v>5</v>
      </c>
      <c r="C26" s="2" t="s">
        <v>6</v>
      </c>
      <c r="D26" s="2" t="s">
        <v>7</v>
      </c>
      <c r="E26" s="2" t="s">
        <v>8</v>
      </c>
      <c r="F26" s="2" t="s">
        <v>9</v>
      </c>
      <c r="G26" s="2" t="s">
        <v>10</v>
      </c>
      <c r="H26" s="2" t="s">
        <v>11</v>
      </c>
    </row>
    <row r="27" spans="1:8" ht="22.15" customHeight="1" x14ac:dyDescent="0.35">
      <c r="A27" s="3"/>
      <c r="B27" s="4"/>
      <c r="C27" s="5" t="str">
        <f>IF(A27="","",B27*$B$2)</f>
        <v/>
      </c>
      <c r="D27" s="6" t="str">
        <f>IF(A27="","",VLOOKUP(A27,Base_Donnees!A:F,6,FALSE))</f>
        <v/>
      </c>
      <c r="E27" s="6" t="str">
        <f>IF(A27="","",C27*D27)</f>
        <v/>
      </c>
      <c r="F27" s="7" t="str">
        <f>IF(A27="","",IF(VLOOKUP(A27,Base_Donnees!A:F,3,FALSE)&gt;4000,0,ROUNDUP((C27*1000/VLOOKUP(A27,Base_Donnees!A:F,3,FALSE))*1.5,0)))</f>
        <v/>
      </c>
      <c r="G27" s="4" t="str">
        <f>IF(A27="","",VLOOKUP(A27,Base_Donnees!A:F,4,FALSE))</f>
        <v/>
      </c>
      <c r="H27" s="3" t="str">
        <f>IF(A27="","",VLOOKUP(A27,Base_Donnees!A:F,5,FALSE))</f>
        <v/>
      </c>
    </row>
    <row r="28" spans="1:8" ht="22.15" customHeight="1" x14ac:dyDescent="0.35">
      <c r="A28" s="8"/>
      <c r="B28" s="9"/>
      <c r="C28" s="10" t="str">
        <f>IF(A28="","",B28*$B$2)</f>
        <v/>
      </c>
      <c r="D28" s="11" t="str">
        <f>IF(A28="","",VLOOKUP(A28,Base_Donnees!A:F,6,FALSE))</f>
        <v/>
      </c>
      <c r="E28" s="11" t="str">
        <f>IF(A28="","",C28*D28)</f>
        <v/>
      </c>
      <c r="F28" s="12" t="str">
        <f>IF(A28="","",IF(VLOOKUP(A28,Base_Donnees!A:F,3,FALSE)&gt;4000,0,ROUNDUP((C28*1000/VLOOKUP(A28,Base_Donnees!A:F,3,FALSE))*1.5,0)))</f>
        <v/>
      </c>
      <c r="G28" s="9" t="str">
        <f>IF(A28="","",VLOOKUP(A28,Base_Donnees!A:F,4,FALSE))</f>
        <v/>
      </c>
      <c r="H28" s="8" t="str">
        <f>IF(A28="","",VLOOKUP(A28,Base_Donnees!A:F,5,FALSE))</f>
        <v/>
      </c>
    </row>
    <row r="29" spans="1:8" ht="22.15" customHeight="1" x14ac:dyDescent="0.35">
      <c r="A29" s="3"/>
      <c r="B29" s="4"/>
      <c r="C29" s="5" t="str">
        <f>IF(A29="","",B29*$B$2)</f>
        <v/>
      </c>
      <c r="D29" s="6" t="str">
        <f>IF(A29="","",VLOOKUP(A29,Base_Donnees!A:F,6,FALSE))</f>
        <v/>
      </c>
      <c r="E29" s="6" t="str">
        <f>IF(A29="","",C29*D29)</f>
        <v/>
      </c>
      <c r="F29" s="7" t="str">
        <f>IF(A29="","",IF(VLOOKUP(A29,Base_Donnees!A:F,3,FALSE)&gt;4000,0,ROUNDUP((C29*1000/VLOOKUP(A29,Base_Donnees!A:F,3,FALSE))*1.5,0)))</f>
        <v/>
      </c>
      <c r="G29" s="4" t="str">
        <f>IF(A29="","",VLOOKUP(A29,Base_Donnees!A:F,4,FALSE))</f>
        <v/>
      </c>
      <c r="H29" s="3" t="str">
        <f>IF(A29="","",VLOOKUP(A29,Base_Donnees!A:F,5,FALSE))</f>
        <v/>
      </c>
    </row>
    <row r="31" spans="1:8" ht="16.5" x14ac:dyDescent="0.35">
      <c r="A31" s="33" t="s">
        <v>14</v>
      </c>
      <c r="B31" s="25"/>
      <c r="C31" s="25"/>
      <c r="D31" s="25"/>
      <c r="E31" s="25"/>
      <c r="F31" s="25"/>
      <c r="G31" s="25"/>
      <c r="H31" s="25"/>
    </row>
    <row r="32" spans="1:8" ht="24" customHeight="1" x14ac:dyDescent="0.35">
      <c r="A32" s="2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</row>
    <row r="33" spans="1:8" ht="22.15" customHeight="1" x14ac:dyDescent="0.35">
      <c r="A33" s="3"/>
      <c r="B33" s="4"/>
      <c r="C33" s="5" t="str">
        <f>IF(A33="","",B33*$B$2)</f>
        <v/>
      </c>
      <c r="D33" s="6" t="str">
        <f>IF(A33="","",VLOOKUP(A33,Base_Donnees!A:F,6,FALSE))</f>
        <v/>
      </c>
      <c r="E33" s="6" t="str">
        <f>IF(A33="","",C33*D33)</f>
        <v/>
      </c>
      <c r="F33" s="7" t="str">
        <f>IF(A33="","",IF(VLOOKUP(A33,Base_Donnees!A:F,3,FALSE)&gt;4000,0,ROUNDUP((C33*1000/VLOOKUP(A33,Base_Donnees!A:F,3,FALSE))*1.5,0)))</f>
        <v/>
      </c>
      <c r="G33" s="4" t="str">
        <f>IF(A33="","",VLOOKUP(A33,Base_Donnees!A:F,4,FALSE))</f>
        <v/>
      </c>
      <c r="H33" s="3" t="str">
        <f>IF(A33="","",VLOOKUP(A33,Base_Donnees!A:F,5,FALSE))</f>
        <v/>
      </c>
    </row>
    <row r="34" spans="1:8" ht="22.15" customHeight="1" x14ac:dyDescent="0.35">
      <c r="A34" s="8"/>
      <c r="B34" s="9"/>
      <c r="C34" s="10" t="str">
        <f>IF(A34="","",B34*$B$2)</f>
        <v/>
      </c>
      <c r="D34" s="11" t="str">
        <f>IF(A34="","",VLOOKUP(A34,Base_Donnees!A:F,6,FALSE))</f>
        <v/>
      </c>
      <c r="E34" s="11" t="str">
        <f>IF(A34="","",C34*D34)</f>
        <v/>
      </c>
      <c r="F34" s="12" t="str">
        <f>IF(A34="","",IF(VLOOKUP(A34,Base_Donnees!A:F,3,FALSE)&gt;4000,0,ROUNDUP((C34*1000/VLOOKUP(A34,Base_Donnees!A:F,3,FALSE))*1.5,0)))</f>
        <v/>
      </c>
      <c r="G34" s="9" t="str">
        <f>IF(A34="","",VLOOKUP(A34,Base_Donnees!A:F,4,FALSE))</f>
        <v/>
      </c>
      <c r="H34" s="8" t="str">
        <f>IF(A34="","",VLOOKUP(A34,Base_Donnees!A:F,5,FALSE))</f>
        <v/>
      </c>
    </row>
    <row r="35" spans="1:8" ht="22.15" customHeight="1" x14ac:dyDescent="0.35">
      <c r="A35" s="3"/>
      <c r="B35" s="4"/>
      <c r="C35" s="5" t="str">
        <f>IF(A35="","",B35*$B$2)</f>
        <v/>
      </c>
      <c r="D35" s="6" t="str">
        <f>IF(A35="","",VLOOKUP(A35,Base_Donnees!A:F,6,FALSE))</f>
        <v/>
      </c>
      <c r="E35" s="6" t="str">
        <f>IF(A35="","",C35*D35)</f>
        <v/>
      </c>
      <c r="F35" s="7" t="str">
        <f>IF(A35="","",IF(VLOOKUP(A35,Base_Donnees!A:F,3,FALSE)&gt;4000,0,ROUNDUP((C35*1000/VLOOKUP(A35,Base_Donnees!A:F,3,FALSE))*1.5,0)))</f>
        <v/>
      </c>
      <c r="G35" s="4" t="str">
        <f>IF(A35="","",VLOOKUP(A35,Base_Donnees!A:F,4,FALSE))</f>
        <v/>
      </c>
      <c r="H35" s="3" t="str">
        <f>IF(A35="","",VLOOKUP(A35,Base_Donnees!A:F,5,FALSE))</f>
        <v/>
      </c>
    </row>
    <row r="38" spans="1:8" ht="16" x14ac:dyDescent="0.35">
      <c r="A38" s="24" t="s">
        <v>15</v>
      </c>
      <c r="B38" s="25"/>
      <c r="C38" s="25"/>
      <c r="D38" s="25"/>
      <c r="E38" s="25"/>
      <c r="F38" s="25"/>
    </row>
    <row r="39" spans="1:8" ht="30" customHeight="1" x14ac:dyDescent="0.35">
      <c r="A39" s="13" t="s">
        <v>16</v>
      </c>
      <c r="B39" s="13" t="s">
        <v>17</v>
      </c>
      <c r="C39" s="13" t="s">
        <v>18</v>
      </c>
      <c r="D39" s="13" t="s">
        <v>19</v>
      </c>
      <c r="E39" s="13" t="s">
        <v>20</v>
      </c>
      <c r="F39" s="13" t="s">
        <v>21</v>
      </c>
    </row>
    <row r="40" spans="1:8" ht="22.15" customHeight="1" x14ac:dyDescent="0.35">
      <c r="A40" s="4" t="s">
        <v>22</v>
      </c>
      <c r="B40" s="7">
        <f>SUM(F7:F9)</f>
        <v>0</v>
      </c>
      <c r="C40" s="7">
        <f>B40+SUM(C7:C9)*0.6</f>
        <v>0</v>
      </c>
      <c r="D40" s="4" t="str">
        <f>IF(C40&gt;1000,"TROP PLEIN !","OK")</f>
        <v>OK</v>
      </c>
      <c r="E40" s="4">
        <f>IF(B40=0,0,MAX(G7:G9))</f>
        <v>0</v>
      </c>
      <c r="F40" s="6">
        <f>SUM(E7:E9)</f>
        <v>0</v>
      </c>
    </row>
    <row r="41" spans="1:8" ht="22.15" customHeight="1" x14ac:dyDescent="0.35">
      <c r="A41" s="4" t="s">
        <v>23</v>
      </c>
      <c r="B41" s="7">
        <f>SUM(F13:F23)</f>
        <v>0</v>
      </c>
      <c r="C41" s="7">
        <f>B41+SUM(C13:C23)*0.6</f>
        <v>0</v>
      </c>
      <c r="D41" s="4" t="str">
        <f>IF(C41&gt;1000,"TROP PLEIN !","OK")</f>
        <v>OK</v>
      </c>
      <c r="E41" s="4">
        <f>IF(B41=0,0,MAX(G13:G23))</f>
        <v>0</v>
      </c>
      <c r="F41" s="6">
        <f>SUM(E13:E23)</f>
        <v>0</v>
      </c>
    </row>
    <row r="42" spans="1:8" ht="22.15" customHeight="1" x14ac:dyDescent="0.35">
      <c r="A42" s="4" t="s">
        <v>24</v>
      </c>
      <c r="B42" s="7">
        <f>SUM(F27:F29)</f>
        <v>0</v>
      </c>
      <c r="C42" s="7">
        <f>B42+SUM(C27:C29)*0.6</f>
        <v>0</v>
      </c>
      <c r="D42" s="4" t="str">
        <f>IF(C42&gt;1000,"TROP PLEIN !","OK")</f>
        <v>OK</v>
      </c>
      <c r="E42" s="4">
        <f>IF(B42=0,0,MAX(G27:G29))</f>
        <v>0</v>
      </c>
      <c r="F42" s="6">
        <f>SUM(E27:E29)</f>
        <v>0</v>
      </c>
    </row>
    <row r="43" spans="1:8" ht="22.15" customHeight="1" x14ac:dyDescent="0.35">
      <c r="A43" s="4" t="s">
        <v>25</v>
      </c>
      <c r="B43" s="7">
        <f>SUM(F33:F35)</f>
        <v>0</v>
      </c>
      <c r="C43" s="7">
        <f>B43+SUM(C33:C35)*0.6</f>
        <v>0</v>
      </c>
      <c r="D43" s="4" t="str">
        <f>IF(C43&gt;1000,"TROP PLEIN !","OK")</f>
        <v>OK</v>
      </c>
      <c r="E43" s="4">
        <f>IF(B43=0,0,MAX(G33:G35))</f>
        <v>0</v>
      </c>
      <c r="F43" s="6">
        <f>SUM(E33:E35)</f>
        <v>0</v>
      </c>
    </row>
    <row r="44" spans="1:8" x14ac:dyDescent="0.35">
      <c r="F44" s="26">
        <f>SUM(F40:F43)</f>
        <v>0</v>
      </c>
      <c r="G44" s="25"/>
      <c r="H44" s="25"/>
    </row>
    <row r="45" spans="1:8" x14ac:dyDescent="0.35">
      <c r="F45" s="25"/>
      <c r="G45" s="25"/>
      <c r="H45" s="25"/>
    </row>
  </sheetData>
  <mergeCells count="8">
    <mergeCell ref="A38:F38"/>
    <mergeCell ref="F44:H45"/>
    <mergeCell ref="A1:E1"/>
    <mergeCell ref="F1:H1"/>
    <mergeCell ref="A5:H5"/>
    <mergeCell ref="A11:H11"/>
    <mergeCell ref="A25:H25"/>
    <mergeCell ref="A31:H3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692176B8-8151-45C9-BBCE-D4E87FAE0BE4}">
          <x14:formula1>
            <xm:f>Base_Donnees!$A$18:$A$19</xm:f>
          </x14:formula1>
          <xm:sqref>A33:A35</xm:sqref>
        </x14:dataValidation>
        <x14:dataValidation type="list" allowBlank="1" xr:uid="{BE3A29AF-E68D-4842-8ABB-98B4D1DE798A}">
          <x14:formula1>
            <xm:f>Base_Donnees!$A$15:$A$17</xm:f>
          </x14:formula1>
          <xm:sqref>A27:A29</xm:sqref>
        </x14:dataValidation>
        <x14:dataValidation type="list" allowBlank="1" xr:uid="{1AE7614C-875D-42F1-9708-77F88F541035}">
          <x14:formula1>
            <xm:f>Base_Donnees!$A$4:$A$14</xm:f>
          </x14:formula1>
          <xm:sqref>A13:A23</xm:sqref>
        </x14:dataValidation>
        <x14:dataValidation type="list" allowBlank="1" xr:uid="{F0DB307C-4B04-4C02-AEC5-413FA5EEA454}">
          <x14:formula1>
            <xm:f>Base_Donnees!$A$2:$A$3</xm:f>
          </x14:formula1>
          <xm:sqref>A7:A9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EEE9-2DB8-4995-8EC7-81FED04AC288}">
  <dimension ref="A1:H45"/>
  <sheetViews>
    <sheetView workbookViewId="0">
      <selection activeCell="A47" sqref="A47"/>
    </sheetView>
  </sheetViews>
  <sheetFormatPr baseColWidth="10" defaultColWidth="8.90625" defaultRowHeight="14.5" x14ac:dyDescent="0.35"/>
  <cols>
    <col min="1" max="1" width="39.6328125" style="17" customWidth="1"/>
    <col min="2" max="2" width="15.453125" style="17" customWidth="1"/>
    <col min="3" max="3" width="14.26953125" style="17" customWidth="1"/>
    <col min="4" max="4" width="14.54296875" style="17" customWidth="1"/>
    <col min="5" max="5" width="14.90625" style="17" customWidth="1"/>
    <col min="6" max="6" width="13.26953125" style="17" customWidth="1"/>
    <col min="7" max="7" width="14.36328125" style="17" customWidth="1"/>
    <col min="8" max="8" width="68.1796875" style="17" customWidth="1"/>
    <col min="9" max="9" width="16" style="17" customWidth="1"/>
    <col min="10" max="16384" width="8.90625" style="17"/>
  </cols>
  <sheetData>
    <row r="1" spans="1:8" ht="30" customHeight="1" x14ac:dyDescent="0.35">
      <c r="A1" s="27" t="s">
        <v>0</v>
      </c>
      <c r="B1" s="27"/>
      <c r="C1" s="27"/>
      <c r="D1" s="27"/>
      <c r="E1" s="27"/>
      <c r="F1" s="28">
        <f>F44</f>
        <v>0</v>
      </c>
      <c r="G1" s="29"/>
      <c r="H1" s="29"/>
    </row>
    <row r="2" spans="1:8" ht="16" x14ac:dyDescent="0.35">
      <c r="A2" s="18" t="s">
        <v>1</v>
      </c>
      <c r="B2" s="1">
        <v>1</v>
      </c>
    </row>
    <row r="3" spans="1:8" ht="16" x14ac:dyDescent="0.35">
      <c r="A3" s="18" t="s">
        <v>2</v>
      </c>
      <c r="B3" s="20">
        <v>46159</v>
      </c>
    </row>
    <row r="5" spans="1:8" ht="16.5" x14ac:dyDescent="0.35">
      <c r="A5" s="30" t="s">
        <v>3</v>
      </c>
      <c r="B5" s="25"/>
      <c r="C5" s="25"/>
      <c r="D5" s="25"/>
      <c r="E5" s="25"/>
      <c r="F5" s="25"/>
      <c r="G5" s="25"/>
      <c r="H5" s="25"/>
    </row>
    <row r="6" spans="1:8" ht="24" customHeight="1" x14ac:dyDescent="0.3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</row>
    <row r="7" spans="1:8" ht="22.15" customHeight="1" x14ac:dyDescent="0.35">
      <c r="A7" s="15"/>
      <c r="B7" s="4"/>
      <c r="C7" s="5" t="str">
        <f>IF(A7="","",B7*$B$2)</f>
        <v/>
      </c>
      <c r="D7" s="6" t="str">
        <f>IF(A7="","",VLOOKUP(A7,Base_Donnees!A:F,6,FALSE))</f>
        <v/>
      </c>
      <c r="E7" s="6" t="str">
        <f>IF(A7="","",C7*D7)</f>
        <v/>
      </c>
      <c r="F7" s="7" t="str">
        <f>IF(A7="","",IF(VLOOKUP(A7,Base_Donnees!A:F,3,FALSE)&gt;4000,0,ROUNDUP((C7*1000/VLOOKUP(A7,Base_Donnees!A:F,3,FALSE))*1.5,0)))</f>
        <v/>
      </c>
      <c r="G7" s="4" t="str">
        <f>IF(A7="","",VLOOKUP(A7,Base_Donnees!A:F,4,FALSE))</f>
        <v/>
      </c>
      <c r="H7" s="3" t="str">
        <f>IF(A7="","",VLOOKUP(A7,Base_Donnees!A:F,5,FALSE))</f>
        <v/>
      </c>
    </row>
    <row r="8" spans="1:8" ht="22.15" customHeight="1" x14ac:dyDescent="0.35">
      <c r="A8" s="16"/>
      <c r="B8" s="9"/>
      <c r="C8" s="10" t="str">
        <f>IF(A8="","",B8*$B$2)</f>
        <v/>
      </c>
      <c r="D8" s="11" t="str">
        <f>IF(A8="","",VLOOKUP(A8,Base_Donnees!A:F,6,FALSE))</f>
        <v/>
      </c>
      <c r="E8" s="11" t="str">
        <f>IF(A8="","",C8*D8)</f>
        <v/>
      </c>
      <c r="F8" s="12" t="str">
        <f>IF(A8="","",IF(VLOOKUP(A8,Base_Donnees!A:F,3,FALSE)&gt;4000,0,ROUNDUP((C8*1000/VLOOKUP(A8,Base_Donnees!A:F,3,FALSE))*1.5,0)))</f>
        <v/>
      </c>
      <c r="G8" s="9" t="str">
        <f>IF(A8="","",VLOOKUP(A8,Base_Donnees!A:F,4,FALSE))</f>
        <v/>
      </c>
      <c r="H8" s="8" t="str">
        <f>IF(A8="","",VLOOKUP(A8,Base_Donnees!A:F,5,FALSE))</f>
        <v/>
      </c>
    </row>
    <row r="9" spans="1:8" ht="22.15" customHeight="1" x14ac:dyDescent="0.35">
      <c r="A9" s="15"/>
      <c r="B9" s="4"/>
      <c r="C9" s="5" t="str">
        <f>IF(A9="","",B9*$B$2)</f>
        <v/>
      </c>
      <c r="D9" s="6" t="str">
        <f>IF(A9="","",VLOOKUP(A9,Base_Donnees!A:F,6,FALSE))</f>
        <v/>
      </c>
      <c r="E9" s="6" t="str">
        <f>IF(A9="","",C9*D9)</f>
        <v/>
      </c>
      <c r="F9" s="7" t="str">
        <f>IF(A9="","",IF(VLOOKUP(A9,Base_Donnees!A:F,3,FALSE)&gt;4000,0,ROUNDUP((C9*1000/VLOOKUP(A9,Base_Donnees!A:F,3,FALSE))*1.5,0)))</f>
        <v/>
      </c>
      <c r="G9" s="4" t="str">
        <f>IF(A9="","",VLOOKUP(A9,Base_Donnees!A:F,4,FALSE))</f>
        <v/>
      </c>
      <c r="H9" s="3" t="str">
        <f>IF(A9="","",VLOOKUP(A9,Base_Donnees!A:F,5,FALSE))</f>
        <v/>
      </c>
    </row>
    <row r="10" spans="1:8" ht="15.5" x14ac:dyDescent="0.35">
      <c r="A10" s="19"/>
    </row>
    <row r="11" spans="1:8" ht="16.5" x14ac:dyDescent="0.35">
      <c r="A11" s="31" t="s">
        <v>12</v>
      </c>
      <c r="B11" s="25"/>
      <c r="C11" s="25"/>
      <c r="D11" s="25"/>
      <c r="E11" s="25"/>
      <c r="F11" s="25"/>
      <c r="G11" s="25"/>
      <c r="H11" s="25"/>
    </row>
    <row r="12" spans="1:8" ht="24" customHeight="1" x14ac:dyDescent="0.35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</row>
    <row r="13" spans="1:8" ht="22.15" customHeight="1" x14ac:dyDescent="0.35">
      <c r="A13" s="3"/>
      <c r="B13" s="4"/>
      <c r="C13" s="5" t="str">
        <f t="shared" ref="C13:C23" si="0">IF(A13="","",B13*$B$2)</f>
        <v/>
      </c>
      <c r="D13" s="6" t="str">
        <f>IF(A13="","",VLOOKUP(A13,Base_Donnees!A:F,6,FALSE))</f>
        <v/>
      </c>
      <c r="E13" s="6" t="str">
        <f t="shared" ref="E13:E23" si="1">IF(A13="","",C13*D13)</f>
        <v/>
      </c>
      <c r="F13" s="7" t="str">
        <f>IF(A13="","",IF(VLOOKUP(A13,Base_Donnees!A:F,3,FALSE)&gt;4000,0,ROUNDUP((C13*1000/VLOOKUP(A13,Base_Donnees!A:F,3,FALSE))*1.5,0)))</f>
        <v/>
      </c>
      <c r="G13" s="4" t="str">
        <f>IF(A13="","",VLOOKUP(A13,Base_Donnees!A:F,4,FALSE))</f>
        <v/>
      </c>
      <c r="H13" s="3" t="str">
        <f>IF(A13="","",VLOOKUP(A13,Base_Donnees!A:F,5,FALSE))</f>
        <v/>
      </c>
    </row>
    <row r="14" spans="1:8" ht="22.15" customHeight="1" x14ac:dyDescent="0.35">
      <c r="A14" s="8"/>
      <c r="B14" s="9"/>
      <c r="C14" s="10" t="str">
        <f t="shared" si="0"/>
        <v/>
      </c>
      <c r="D14" s="11" t="str">
        <f>IF(A14="","",VLOOKUP(A14,Base_Donnees!A:F,6,FALSE))</f>
        <v/>
      </c>
      <c r="E14" s="11" t="str">
        <f t="shared" si="1"/>
        <v/>
      </c>
      <c r="F14" s="12" t="str">
        <f>IF(A14="","",IF(VLOOKUP(A14,Base_Donnees!A:F,3,FALSE)&gt;4000,0,ROUNDUP((C14*1000/VLOOKUP(A14,Base_Donnees!A:F,3,FALSE))*1.5,0)))</f>
        <v/>
      </c>
      <c r="G14" s="9" t="str">
        <f>IF(A14="","",VLOOKUP(A14,Base_Donnees!A:F,4,FALSE))</f>
        <v/>
      </c>
      <c r="H14" s="8" t="str">
        <f>IF(A14="","",VLOOKUP(A14,Base_Donnees!A:F,5,FALSE))</f>
        <v/>
      </c>
    </row>
    <row r="15" spans="1:8" ht="22.15" customHeight="1" x14ac:dyDescent="0.35">
      <c r="A15" s="3"/>
      <c r="B15" s="4"/>
      <c r="C15" s="5" t="str">
        <f t="shared" si="0"/>
        <v/>
      </c>
      <c r="D15" s="6" t="str">
        <f>IF(A15="","",VLOOKUP(A15,Base_Donnees!A:F,6,FALSE))</f>
        <v/>
      </c>
      <c r="E15" s="6" t="str">
        <f t="shared" si="1"/>
        <v/>
      </c>
      <c r="F15" s="7" t="str">
        <f>IF(A15="","",IF(VLOOKUP(A15,Base_Donnees!A:F,3,FALSE)&gt;4000,0,ROUNDUP((C15*1000/VLOOKUP(A15,Base_Donnees!A:F,3,FALSE))*1.5,0)))</f>
        <v/>
      </c>
      <c r="G15" s="4" t="str">
        <f>IF(A15="","",VLOOKUP(A15,Base_Donnees!A:F,4,FALSE))</f>
        <v/>
      </c>
      <c r="H15" s="3" t="str">
        <f>IF(A15="","",VLOOKUP(A15,Base_Donnees!A:F,5,FALSE))</f>
        <v/>
      </c>
    </row>
    <row r="16" spans="1:8" ht="22.15" customHeight="1" x14ac:dyDescent="0.35">
      <c r="A16" s="8"/>
      <c r="B16" s="9"/>
      <c r="C16" s="10" t="str">
        <f t="shared" si="0"/>
        <v/>
      </c>
      <c r="D16" s="11" t="str">
        <f>IF(A16="","",VLOOKUP(A16,Base_Donnees!A:F,6,FALSE))</f>
        <v/>
      </c>
      <c r="E16" s="11" t="str">
        <f t="shared" si="1"/>
        <v/>
      </c>
      <c r="F16" s="12" t="str">
        <f>IF(A16="","",IF(VLOOKUP(A16,Base_Donnees!A:F,3,FALSE)&gt;4000,0,ROUNDUP((C16*1000/VLOOKUP(A16,Base_Donnees!A:F,3,FALSE))*1.5,0)))</f>
        <v/>
      </c>
      <c r="G16" s="9" t="str">
        <f>IF(A16="","",VLOOKUP(A16,Base_Donnees!A:F,4,FALSE))</f>
        <v/>
      </c>
      <c r="H16" s="8" t="str">
        <f>IF(A16="","",VLOOKUP(A16,Base_Donnees!A:F,5,FALSE))</f>
        <v/>
      </c>
    </row>
    <row r="17" spans="1:8" ht="22.15" customHeight="1" x14ac:dyDescent="0.35">
      <c r="A17" s="3"/>
      <c r="B17" s="4"/>
      <c r="C17" s="5" t="str">
        <f t="shared" si="0"/>
        <v/>
      </c>
      <c r="D17" s="6" t="str">
        <f>IF(A17="","",VLOOKUP(A17,Base_Donnees!A:F,6,FALSE))</f>
        <v/>
      </c>
      <c r="E17" s="6" t="str">
        <f t="shared" si="1"/>
        <v/>
      </c>
      <c r="F17" s="7" t="str">
        <f>IF(A17="","",IF(VLOOKUP(A17,Base_Donnees!A:F,3,FALSE)&gt;4000,0,ROUNDUP((C17*1000/VLOOKUP(A17,Base_Donnees!A:F,3,FALSE))*1.5,0)))</f>
        <v/>
      </c>
      <c r="G17" s="4" t="str">
        <f>IF(A17="","",VLOOKUP(A17,Base_Donnees!A:F,4,FALSE))</f>
        <v/>
      </c>
      <c r="H17" s="3" t="str">
        <f>IF(A17="","",VLOOKUP(A17,Base_Donnees!A:F,5,FALSE))</f>
        <v/>
      </c>
    </row>
    <row r="18" spans="1:8" ht="22.15" customHeight="1" x14ac:dyDescent="0.35">
      <c r="A18" s="8"/>
      <c r="B18" s="9"/>
      <c r="C18" s="10" t="str">
        <f t="shared" si="0"/>
        <v/>
      </c>
      <c r="D18" s="11" t="str">
        <f>IF(A18="","",VLOOKUP(A18,Base_Donnees!A:F,6,FALSE))</f>
        <v/>
      </c>
      <c r="E18" s="11" t="str">
        <f t="shared" si="1"/>
        <v/>
      </c>
      <c r="F18" s="12" t="str">
        <f>IF(A18="","",IF(VLOOKUP(A18,Base_Donnees!A:F,3,FALSE)&gt;4000,0,ROUNDUP((C18*1000/VLOOKUP(A18,Base_Donnees!A:F,3,FALSE))*1.5,0)))</f>
        <v/>
      </c>
      <c r="G18" s="9" t="str">
        <f>IF(A18="","",VLOOKUP(A18,Base_Donnees!A:F,4,FALSE))</f>
        <v/>
      </c>
      <c r="H18" s="8" t="str">
        <f>IF(A18="","",VLOOKUP(A18,Base_Donnees!A:F,5,FALSE))</f>
        <v/>
      </c>
    </row>
    <row r="19" spans="1:8" ht="22.15" customHeight="1" x14ac:dyDescent="0.35">
      <c r="A19" s="3"/>
      <c r="B19" s="4"/>
      <c r="C19" s="5" t="str">
        <f t="shared" si="0"/>
        <v/>
      </c>
      <c r="D19" s="6" t="str">
        <f>IF(A19="","",VLOOKUP(A19,Base_Donnees!A:F,6,FALSE))</f>
        <v/>
      </c>
      <c r="E19" s="6" t="str">
        <f t="shared" si="1"/>
        <v/>
      </c>
      <c r="F19" s="7" t="str">
        <f>IF(A19="","",IF(VLOOKUP(A19,Base_Donnees!A:F,3,FALSE)&gt;4000,0,ROUNDUP((C19*1000/VLOOKUP(A19,Base_Donnees!A:F,3,FALSE))*1.5,0)))</f>
        <v/>
      </c>
      <c r="G19" s="4" t="str">
        <f>IF(A19="","",VLOOKUP(A19,Base_Donnees!A:F,4,FALSE))</f>
        <v/>
      </c>
      <c r="H19" s="3" t="str">
        <f>IF(A19="","",VLOOKUP(A19,Base_Donnees!A:F,5,FALSE))</f>
        <v/>
      </c>
    </row>
    <row r="20" spans="1:8" ht="22.15" customHeight="1" x14ac:dyDescent="0.35">
      <c r="A20" s="8"/>
      <c r="B20" s="9"/>
      <c r="C20" s="10" t="str">
        <f t="shared" si="0"/>
        <v/>
      </c>
      <c r="D20" s="11" t="str">
        <f>IF(A20="","",VLOOKUP(A20,Base_Donnees!A:F,6,FALSE))</f>
        <v/>
      </c>
      <c r="E20" s="11" t="str">
        <f t="shared" si="1"/>
        <v/>
      </c>
      <c r="F20" s="12" t="str">
        <f>IF(A20="","",IF(VLOOKUP(A20,Base_Donnees!A:F,3,FALSE)&gt;4000,0,ROUNDUP((C20*1000/VLOOKUP(A20,Base_Donnees!A:F,3,FALSE))*1.5,0)))</f>
        <v/>
      </c>
      <c r="G20" s="9" t="str">
        <f>IF(A20="","",VLOOKUP(A20,Base_Donnees!A:F,4,FALSE))</f>
        <v/>
      </c>
      <c r="H20" s="8" t="str">
        <f>IF(A20="","",VLOOKUP(A20,Base_Donnees!A:F,5,FALSE))</f>
        <v/>
      </c>
    </row>
    <row r="21" spans="1:8" ht="22.15" customHeight="1" x14ac:dyDescent="0.35">
      <c r="A21" s="3"/>
      <c r="B21" s="4"/>
      <c r="C21" s="5" t="str">
        <f t="shared" si="0"/>
        <v/>
      </c>
      <c r="D21" s="6" t="str">
        <f>IF(A21="","",VLOOKUP(A21,Base_Donnees!A:F,6,FALSE))</f>
        <v/>
      </c>
      <c r="E21" s="6" t="str">
        <f t="shared" si="1"/>
        <v/>
      </c>
      <c r="F21" s="7" t="str">
        <f>IF(A21="","",IF(VLOOKUP(A21,Base_Donnees!A:F,3,FALSE)&gt;4000,0,ROUNDUP((C21*1000/VLOOKUP(A21,Base_Donnees!A:F,3,FALSE))*1.5,0)))</f>
        <v/>
      </c>
      <c r="G21" s="4" t="str">
        <f>IF(A21="","",VLOOKUP(A21,Base_Donnees!A:F,4,FALSE))</f>
        <v/>
      </c>
      <c r="H21" s="3" t="str">
        <f>IF(A21="","",VLOOKUP(A21,Base_Donnees!A:F,5,FALSE))</f>
        <v/>
      </c>
    </row>
    <row r="22" spans="1:8" ht="22.15" customHeight="1" x14ac:dyDescent="0.35">
      <c r="A22" s="8"/>
      <c r="B22" s="9"/>
      <c r="C22" s="10" t="str">
        <f t="shared" si="0"/>
        <v/>
      </c>
      <c r="D22" s="11" t="str">
        <f>IF(A22="","",VLOOKUP(A22,Base_Donnees!A:F,6,FALSE))</f>
        <v/>
      </c>
      <c r="E22" s="11" t="str">
        <f t="shared" si="1"/>
        <v/>
      </c>
      <c r="F22" s="12" t="str">
        <f>IF(A22="","",IF(VLOOKUP(A22,Base_Donnees!A:F,3,FALSE)&gt;4000,0,ROUNDUP((C22*1000/VLOOKUP(A22,Base_Donnees!A:F,3,FALSE))*1.5,0)))</f>
        <v/>
      </c>
      <c r="G22" s="9" t="str">
        <f>IF(A22="","",VLOOKUP(A22,Base_Donnees!A:F,4,FALSE))</f>
        <v/>
      </c>
      <c r="H22" s="8" t="str">
        <f>IF(A22="","",VLOOKUP(A22,Base_Donnees!A:F,5,FALSE))</f>
        <v/>
      </c>
    </row>
    <row r="23" spans="1:8" ht="22.15" customHeight="1" x14ac:dyDescent="0.35">
      <c r="A23" s="3"/>
      <c r="B23" s="4"/>
      <c r="C23" s="5" t="str">
        <f t="shared" si="0"/>
        <v/>
      </c>
      <c r="D23" s="6" t="str">
        <f>IF(A23="","",VLOOKUP(A23,Base_Donnees!A:F,6,FALSE))</f>
        <v/>
      </c>
      <c r="E23" s="6" t="str">
        <f t="shared" si="1"/>
        <v/>
      </c>
      <c r="F23" s="7" t="str">
        <f>IF(A23="","",IF(VLOOKUP(A23,Base_Donnees!A:F,3,FALSE)&gt;4000,0,ROUNDUP((C23*1000/VLOOKUP(A23,Base_Donnees!A:F,3,FALSE))*1.5,0)))</f>
        <v/>
      </c>
      <c r="G23" s="4" t="str">
        <f>IF(A23="","",VLOOKUP(A23,Base_Donnees!A:F,4,FALSE))</f>
        <v/>
      </c>
      <c r="H23" s="3" t="str">
        <f>IF(A23="","",VLOOKUP(A23,Base_Donnees!A:F,5,FALSE))</f>
        <v/>
      </c>
    </row>
    <row r="25" spans="1:8" ht="16.5" x14ac:dyDescent="0.35">
      <c r="A25" s="32" t="s">
        <v>13</v>
      </c>
      <c r="B25" s="25"/>
      <c r="C25" s="25"/>
      <c r="D25" s="25"/>
      <c r="E25" s="25"/>
      <c r="F25" s="25"/>
      <c r="G25" s="25"/>
      <c r="H25" s="25"/>
    </row>
    <row r="26" spans="1:8" ht="24" customHeight="1" x14ac:dyDescent="0.35">
      <c r="A26" s="2" t="s">
        <v>4</v>
      </c>
      <c r="B26" s="2" t="s">
        <v>5</v>
      </c>
      <c r="C26" s="2" t="s">
        <v>6</v>
      </c>
      <c r="D26" s="2" t="s">
        <v>7</v>
      </c>
      <c r="E26" s="2" t="s">
        <v>8</v>
      </c>
      <c r="F26" s="2" t="s">
        <v>9</v>
      </c>
      <c r="G26" s="2" t="s">
        <v>10</v>
      </c>
      <c r="H26" s="2" t="s">
        <v>11</v>
      </c>
    </row>
    <row r="27" spans="1:8" ht="22.15" customHeight="1" x14ac:dyDescent="0.35">
      <c r="A27" s="3"/>
      <c r="B27" s="4"/>
      <c r="C27" s="5" t="str">
        <f>IF(A27="","",B27*$B$2)</f>
        <v/>
      </c>
      <c r="D27" s="6" t="str">
        <f>IF(A27="","",VLOOKUP(A27,Base_Donnees!A:F,6,FALSE))</f>
        <v/>
      </c>
      <c r="E27" s="6" t="str">
        <f>IF(A27="","",C27*D27)</f>
        <v/>
      </c>
      <c r="F27" s="7" t="str">
        <f>IF(A27="","",IF(VLOOKUP(A27,Base_Donnees!A:F,3,FALSE)&gt;4000,0,ROUNDUP((C27*1000/VLOOKUP(A27,Base_Donnees!A:F,3,FALSE))*1.5,0)))</f>
        <v/>
      </c>
      <c r="G27" s="4" t="str">
        <f>IF(A27="","",VLOOKUP(A27,Base_Donnees!A:F,4,FALSE))</f>
        <v/>
      </c>
      <c r="H27" s="3" t="str">
        <f>IF(A27="","",VLOOKUP(A27,Base_Donnees!A:F,5,FALSE))</f>
        <v/>
      </c>
    </row>
    <row r="28" spans="1:8" ht="22.15" customHeight="1" x14ac:dyDescent="0.35">
      <c r="A28" s="8"/>
      <c r="B28" s="9"/>
      <c r="C28" s="10" t="str">
        <f>IF(A28="","",B28*$B$2)</f>
        <v/>
      </c>
      <c r="D28" s="11" t="str">
        <f>IF(A28="","",VLOOKUP(A28,Base_Donnees!A:F,6,FALSE))</f>
        <v/>
      </c>
      <c r="E28" s="11" t="str">
        <f>IF(A28="","",C28*D28)</f>
        <v/>
      </c>
      <c r="F28" s="12" t="str">
        <f>IF(A28="","",IF(VLOOKUP(A28,Base_Donnees!A:F,3,FALSE)&gt;4000,0,ROUNDUP((C28*1000/VLOOKUP(A28,Base_Donnees!A:F,3,FALSE))*1.5,0)))</f>
        <v/>
      </c>
      <c r="G28" s="9" t="str">
        <f>IF(A28="","",VLOOKUP(A28,Base_Donnees!A:F,4,FALSE))</f>
        <v/>
      </c>
      <c r="H28" s="8" t="str">
        <f>IF(A28="","",VLOOKUP(A28,Base_Donnees!A:F,5,FALSE))</f>
        <v/>
      </c>
    </row>
    <row r="29" spans="1:8" ht="22.15" customHeight="1" x14ac:dyDescent="0.35">
      <c r="A29" s="3"/>
      <c r="B29" s="4"/>
      <c r="C29" s="5" t="str">
        <f>IF(A29="","",B29*$B$2)</f>
        <v/>
      </c>
      <c r="D29" s="6" t="str">
        <f>IF(A29="","",VLOOKUP(A29,Base_Donnees!A:F,6,FALSE))</f>
        <v/>
      </c>
      <c r="E29" s="6" t="str">
        <f>IF(A29="","",C29*D29)</f>
        <v/>
      </c>
      <c r="F29" s="7" t="str">
        <f>IF(A29="","",IF(VLOOKUP(A29,Base_Donnees!A:F,3,FALSE)&gt;4000,0,ROUNDUP((C29*1000/VLOOKUP(A29,Base_Donnees!A:F,3,FALSE))*1.5,0)))</f>
        <v/>
      </c>
      <c r="G29" s="4" t="str">
        <f>IF(A29="","",VLOOKUP(A29,Base_Donnees!A:F,4,FALSE))</f>
        <v/>
      </c>
      <c r="H29" s="3" t="str">
        <f>IF(A29="","",VLOOKUP(A29,Base_Donnees!A:F,5,FALSE))</f>
        <v/>
      </c>
    </row>
    <row r="31" spans="1:8" ht="16.5" x14ac:dyDescent="0.35">
      <c r="A31" s="33" t="s">
        <v>14</v>
      </c>
      <c r="B31" s="25"/>
      <c r="C31" s="25"/>
      <c r="D31" s="25"/>
      <c r="E31" s="25"/>
      <c r="F31" s="25"/>
      <c r="G31" s="25"/>
      <c r="H31" s="25"/>
    </row>
    <row r="32" spans="1:8" ht="24" customHeight="1" x14ac:dyDescent="0.35">
      <c r="A32" s="2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</row>
    <row r="33" spans="1:8" ht="22.15" customHeight="1" x14ac:dyDescent="0.35">
      <c r="A33" s="3"/>
      <c r="B33" s="4"/>
      <c r="C33" s="5" t="str">
        <f>IF(A33="","",B33*$B$2)</f>
        <v/>
      </c>
      <c r="D33" s="6" t="str">
        <f>IF(A33="","",VLOOKUP(A33,Base_Donnees!A:F,6,FALSE))</f>
        <v/>
      </c>
      <c r="E33" s="6" t="str">
        <f>IF(A33="","",C33*D33)</f>
        <v/>
      </c>
      <c r="F33" s="7" t="str">
        <f>IF(A33="","",IF(VLOOKUP(A33,Base_Donnees!A:F,3,FALSE)&gt;4000,0,ROUNDUP((C33*1000/VLOOKUP(A33,Base_Donnees!A:F,3,FALSE))*1.5,0)))</f>
        <v/>
      </c>
      <c r="G33" s="4" t="str">
        <f>IF(A33="","",VLOOKUP(A33,Base_Donnees!A:F,4,FALSE))</f>
        <v/>
      </c>
      <c r="H33" s="3" t="str">
        <f>IF(A33="","",VLOOKUP(A33,Base_Donnees!A:F,5,FALSE))</f>
        <v/>
      </c>
    </row>
    <row r="34" spans="1:8" ht="22.15" customHeight="1" x14ac:dyDescent="0.35">
      <c r="A34" s="8"/>
      <c r="B34" s="9"/>
      <c r="C34" s="10" t="str">
        <f>IF(A34="","",B34*$B$2)</f>
        <v/>
      </c>
      <c r="D34" s="11" t="str">
        <f>IF(A34="","",VLOOKUP(A34,Base_Donnees!A:F,6,FALSE))</f>
        <v/>
      </c>
      <c r="E34" s="11" t="str">
        <f>IF(A34="","",C34*D34)</f>
        <v/>
      </c>
      <c r="F34" s="12" t="str">
        <f>IF(A34="","",IF(VLOOKUP(A34,Base_Donnees!A:F,3,FALSE)&gt;4000,0,ROUNDUP((C34*1000/VLOOKUP(A34,Base_Donnees!A:F,3,FALSE))*1.5,0)))</f>
        <v/>
      </c>
      <c r="G34" s="9" t="str">
        <f>IF(A34="","",VLOOKUP(A34,Base_Donnees!A:F,4,FALSE))</f>
        <v/>
      </c>
      <c r="H34" s="8" t="str">
        <f>IF(A34="","",VLOOKUP(A34,Base_Donnees!A:F,5,FALSE))</f>
        <v/>
      </c>
    </row>
    <row r="35" spans="1:8" ht="22.15" customHeight="1" x14ac:dyDescent="0.35">
      <c r="A35" s="3"/>
      <c r="B35" s="4"/>
      <c r="C35" s="5" t="str">
        <f>IF(A35="","",B35*$B$2)</f>
        <v/>
      </c>
      <c r="D35" s="6" t="str">
        <f>IF(A35="","",VLOOKUP(A35,Base_Donnees!A:F,6,FALSE))</f>
        <v/>
      </c>
      <c r="E35" s="6" t="str">
        <f>IF(A35="","",C35*D35)</f>
        <v/>
      </c>
      <c r="F35" s="7" t="str">
        <f>IF(A35="","",IF(VLOOKUP(A35,Base_Donnees!A:F,3,FALSE)&gt;4000,0,ROUNDUP((C35*1000/VLOOKUP(A35,Base_Donnees!A:F,3,FALSE))*1.5,0)))</f>
        <v/>
      </c>
      <c r="G35" s="4" t="str">
        <f>IF(A35="","",VLOOKUP(A35,Base_Donnees!A:F,4,FALSE))</f>
        <v/>
      </c>
      <c r="H35" s="3" t="str">
        <f>IF(A35="","",VLOOKUP(A35,Base_Donnees!A:F,5,FALSE))</f>
        <v/>
      </c>
    </row>
    <row r="38" spans="1:8" ht="16" x14ac:dyDescent="0.35">
      <c r="A38" s="24" t="s">
        <v>15</v>
      </c>
      <c r="B38" s="25"/>
      <c r="C38" s="25"/>
      <c r="D38" s="25"/>
      <c r="E38" s="25"/>
      <c r="F38" s="25"/>
    </row>
    <row r="39" spans="1:8" ht="30" customHeight="1" x14ac:dyDescent="0.35">
      <c r="A39" s="13" t="s">
        <v>16</v>
      </c>
      <c r="B39" s="13" t="s">
        <v>17</v>
      </c>
      <c r="C39" s="13" t="s">
        <v>18</v>
      </c>
      <c r="D39" s="13" t="s">
        <v>19</v>
      </c>
      <c r="E39" s="13" t="s">
        <v>20</v>
      </c>
      <c r="F39" s="13" t="s">
        <v>21</v>
      </c>
    </row>
    <row r="40" spans="1:8" ht="22.15" customHeight="1" x14ac:dyDescent="0.35">
      <c r="A40" s="4" t="s">
        <v>22</v>
      </c>
      <c r="B40" s="7">
        <f>SUM(F7:F9)</f>
        <v>0</v>
      </c>
      <c r="C40" s="7">
        <f>B40+SUM(C7:C9)*0.6</f>
        <v>0</v>
      </c>
      <c r="D40" s="4" t="str">
        <f>IF(C40&gt;1000,"TROP PLEIN !","OK")</f>
        <v>OK</v>
      </c>
      <c r="E40" s="4">
        <f>IF(B40=0,0,MAX(G7:G9))</f>
        <v>0</v>
      </c>
      <c r="F40" s="6">
        <f>SUM(E7:E9)</f>
        <v>0</v>
      </c>
    </row>
    <row r="41" spans="1:8" ht="22.15" customHeight="1" x14ac:dyDescent="0.35">
      <c r="A41" s="4" t="s">
        <v>23</v>
      </c>
      <c r="B41" s="7">
        <f>SUM(F13:F23)</f>
        <v>0</v>
      </c>
      <c r="C41" s="7">
        <f>B41+SUM(C13:C23)*0.6</f>
        <v>0</v>
      </c>
      <c r="D41" s="4" t="str">
        <f>IF(C41&gt;1000,"TROP PLEIN !","OK")</f>
        <v>OK</v>
      </c>
      <c r="E41" s="4">
        <f>IF(B41=0,0,MAX(G13:G23))</f>
        <v>0</v>
      </c>
      <c r="F41" s="6">
        <f>SUM(E13:E23)</f>
        <v>0</v>
      </c>
    </row>
    <row r="42" spans="1:8" ht="22.15" customHeight="1" x14ac:dyDescent="0.35">
      <c r="A42" s="4" t="s">
        <v>24</v>
      </c>
      <c r="B42" s="7">
        <f>SUM(F27:F29)</f>
        <v>0</v>
      </c>
      <c r="C42" s="7">
        <f>B42+SUM(C27:C29)*0.6</f>
        <v>0</v>
      </c>
      <c r="D42" s="4" t="str">
        <f>IF(C42&gt;1000,"TROP PLEIN !","OK")</f>
        <v>OK</v>
      </c>
      <c r="E42" s="4">
        <f>IF(B42=0,0,MAX(G27:G29))</f>
        <v>0</v>
      </c>
      <c r="F42" s="6">
        <f>SUM(E27:E29)</f>
        <v>0</v>
      </c>
    </row>
    <row r="43" spans="1:8" ht="22.15" customHeight="1" x14ac:dyDescent="0.35">
      <c r="A43" s="4" t="s">
        <v>25</v>
      </c>
      <c r="B43" s="7">
        <f>SUM(F33:F35)</f>
        <v>0</v>
      </c>
      <c r="C43" s="7">
        <f>B43+SUM(C33:C35)*0.6</f>
        <v>0</v>
      </c>
      <c r="D43" s="4" t="str">
        <f>IF(C43&gt;1000,"TROP PLEIN !","OK")</f>
        <v>OK</v>
      </c>
      <c r="E43" s="4">
        <f>IF(B43=0,0,MAX(G33:G35))</f>
        <v>0</v>
      </c>
      <c r="F43" s="6">
        <f>SUM(E33:E35)</f>
        <v>0</v>
      </c>
    </row>
    <row r="44" spans="1:8" x14ac:dyDescent="0.35">
      <c r="F44" s="26">
        <f>SUM(F40:F43)</f>
        <v>0</v>
      </c>
      <c r="G44" s="25"/>
      <c r="H44" s="25"/>
    </row>
    <row r="45" spans="1:8" x14ac:dyDescent="0.35">
      <c r="F45" s="25"/>
      <c r="G45" s="25"/>
      <c r="H45" s="25"/>
    </row>
  </sheetData>
  <mergeCells count="8">
    <mergeCell ref="A38:F38"/>
    <mergeCell ref="F44:H45"/>
    <mergeCell ref="A1:E1"/>
    <mergeCell ref="F1:H1"/>
    <mergeCell ref="A5:H5"/>
    <mergeCell ref="A11:H11"/>
    <mergeCell ref="A25:H25"/>
    <mergeCell ref="A31:H3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FC4408E1-EA31-48FC-9B53-94D1B06BC180}">
          <x14:formula1>
            <xm:f>Base_Donnees!$A$2:$A$3</xm:f>
          </x14:formula1>
          <xm:sqref>A7:A9</xm:sqref>
        </x14:dataValidation>
        <x14:dataValidation type="list" allowBlank="1" xr:uid="{000BE4BD-6269-4E02-9991-4CA5E3B666EE}">
          <x14:formula1>
            <xm:f>Base_Donnees!$A$4:$A$14</xm:f>
          </x14:formula1>
          <xm:sqref>A13:A23</xm:sqref>
        </x14:dataValidation>
        <x14:dataValidation type="list" allowBlank="1" xr:uid="{5EB6BF64-4068-4694-9109-0782DEBA57B2}">
          <x14:formula1>
            <xm:f>Base_Donnees!$A$15:$A$17</xm:f>
          </x14:formula1>
          <xm:sqref>A27:A29</xm:sqref>
        </x14:dataValidation>
        <x14:dataValidation type="list" allowBlank="1" xr:uid="{89B76BDD-D0E9-46A2-AF6D-E21289B5D9F7}">
          <x14:formula1>
            <xm:f>Base_Donnees!$A$18:$A$19</xm:f>
          </x14:formula1>
          <xm:sqref>A33:A35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912A-97D9-4C27-9BD7-D7CE8035281F}">
  <dimension ref="A1:H45"/>
  <sheetViews>
    <sheetView workbookViewId="0">
      <selection activeCell="A47" sqref="A47"/>
    </sheetView>
  </sheetViews>
  <sheetFormatPr baseColWidth="10" defaultColWidth="8.90625" defaultRowHeight="14.5" x14ac:dyDescent="0.35"/>
  <cols>
    <col min="1" max="1" width="39.6328125" style="17" customWidth="1"/>
    <col min="2" max="2" width="15.453125" style="17" customWidth="1"/>
    <col min="3" max="3" width="14.26953125" style="17" customWidth="1"/>
    <col min="4" max="4" width="14.54296875" style="17" customWidth="1"/>
    <col min="5" max="5" width="14.90625" style="17" customWidth="1"/>
    <col min="6" max="6" width="13.26953125" style="17" customWidth="1"/>
    <col min="7" max="7" width="14.36328125" style="17" customWidth="1"/>
    <col min="8" max="8" width="68.1796875" style="17" customWidth="1"/>
    <col min="9" max="9" width="16" style="17" customWidth="1"/>
    <col min="10" max="16384" width="8.90625" style="17"/>
  </cols>
  <sheetData>
    <row r="1" spans="1:8" ht="30" customHeight="1" x14ac:dyDescent="0.35">
      <c r="A1" s="27" t="s">
        <v>0</v>
      </c>
      <c r="B1" s="27"/>
      <c r="C1" s="27"/>
      <c r="D1" s="27"/>
      <c r="E1" s="27"/>
      <c r="F1" s="28">
        <f>F44</f>
        <v>0</v>
      </c>
      <c r="G1" s="29"/>
      <c r="H1" s="29"/>
    </row>
    <row r="2" spans="1:8" ht="16" x14ac:dyDescent="0.35">
      <c r="A2" s="18" t="s">
        <v>1</v>
      </c>
      <c r="B2" s="1">
        <v>1</v>
      </c>
    </row>
    <row r="3" spans="1:8" ht="16" x14ac:dyDescent="0.35">
      <c r="A3" s="18" t="s">
        <v>2</v>
      </c>
      <c r="B3" s="20">
        <v>46159</v>
      </c>
    </row>
    <row r="5" spans="1:8" ht="16.5" x14ac:dyDescent="0.35">
      <c r="A5" s="30" t="s">
        <v>3</v>
      </c>
      <c r="B5" s="25"/>
      <c r="C5" s="25"/>
      <c r="D5" s="25"/>
      <c r="E5" s="25"/>
      <c r="F5" s="25"/>
      <c r="G5" s="25"/>
      <c r="H5" s="25"/>
    </row>
    <row r="6" spans="1:8" ht="24" customHeight="1" x14ac:dyDescent="0.3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</row>
    <row r="7" spans="1:8" ht="22.15" customHeight="1" x14ac:dyDescent="0.35">
      <c r="A7" s="15"/>
      <c r="B7" s="4"/>
      <c r="C7" s="5" t="str">
        <f>IF(A7="","",B7*$B$2)</f>
        <v/>
      </c>
      <c r="D7" s="6" t="str">
        <f>IF(A7="","",VLOOKUP(A7,Base_Donnees!A:F,6,FALSE))</f>
        <v/>
      </c>
      <c r="E7" s="6" t="str">
        <f>IF(A7="","",C7*D7)</f>
        <v/>
      </c>
      <c r="F7" s="7" t="str">
        <f>IF(A7="","",IF(VLOOKUP(A7,Base_Donnees!A:F,3,FALSE)&gt;4000,0,ROUNDUP((C7*1000/VLOOKUP(A7,Base_Donnees!A:F,3,FALSE))*1.5,0)))</f>
        <v/>
      </c>
      <c r="G7" s="4" t="str">
        <f>IF(A7="","",VLOOKUP(A7,Base_Donnees!A:F,4,FALSE))</f>
        <v/>
      </c>
      <c r="H7" s="3" t="str">
        <f>IF(A7="","",VLOOKUP(A7,Base_Donnees!A:F,5,FALSE))</f>
        <v/>
      </c>
    </row>
    <row r="8" spans="1:8" ht="22.15" customHeight="1" x14ac:dyDescent="0.35">
      <c r="A8" s="16"/>
      <c r="B8" s="9"/>
      <c r="C8" s="10" t="str">
        <f>IF(A8="","",B8*$B$2)</f>
        <v/>
      </c>
      <c r="D8" s="11" t="str">
        <f>IF(A8="","",VLOOKUP(A8,Base_Donnees!A:F,6,FALSE))</f>
        <v/>
      </c>
      <c r="E8" s="11" t="str">
        <f>IF(A8="","",C8*D8)</f>
        <v/>
      </c>
      <c r="F8" s="12" t="str">
        <f>IF(A8="","",IF(VLOOKUP(A8,Base_Donnees!A:F,3,FALSE)&gt;4000,0,ROUNDUP((C8*1000/VLOOKUP(A8,Base_Donnees!A:F,3,FALSE))*1.5,0)))</f>
        <v/>
      </c>
      <c r="G8" s="9" t="str">
        <f>IF(A8="","",VLOOKUP(A8,Base_Donnees!A:F,4,FALSE))</f>
        <v/>
      </c>
      <c r="H8" s="8" t="str">
        <f>IF(A8="","",VLOOKUP(A8,Base_Donnees!A:F,5,FALSE))</f>
        <v/>
      </c>
    </row>
    <row r="9" spans="1:8" ht="22.15" customHeight="1" x14ac:dyDescent="0.35">
      <c r="A9" s="15"/>
      <c r="B9" s="4"/>
      <c r="C9" s="5" t="str">
        <f>IF(A9="","",B9*$B$2)</f>
        <v/>
      </c>
      <c r="D9" s="6" t="str">
        <f>IF(A9="","",VLOOKUP(A9,Base_Donnees!A:F,6,FALSE))</f>
        <v/>
      </c>
      <c r="E9" s="6" t="str">
        <f>IF(A9="","",C9*D9)</f>
        <v/>
      </c>
      <c r="F9" s="7" t="str">
        <f>IF(A9="","",IF(VLOOKUP(A9,Base_Donnees!A:F,3,FALSE)&gt;4000,0,ROUNDUP((C9*1000/VLOOKUP(A9,Base_Donnees!A:F,3,FALSE))*1.5,0)))</f>
        <v/>
      </c>
      <c r="G9" s="4" t="str">
        <f>IF(A9="","",VLOOKUP(A9,Base_Donnees!A:F,4,FALSE))</f>
        <v/>
      </c>
      <c r="H9" s="3" t="str">
        <f>IF(A9="","",VLOOKUP(A9,Base_Donnees!A:F,5,FALSE))</f>
        <v/>
      </c>
    </row>
    <row r="10" spans="1:8" ht="15.5" x14ac:dyDescent="0.35">
      <c r="A10" s="19"/>
    </row>
    <row r="11" spans="1:8" ht="16.5" x14ac:dyDescent="0.35">
      <c r="A11" s="31" t="s">
        <v>12</v>
      </c>
      <c r="B11" s="25"/>
      <c r="C11" s="25"/>
      <c r="D11" s="25"/>
      <c r="E11" s="25"/>
      <c r="F11" s="25"/>
      <c r="G11" s="25"/>
      <c r="H11" s="25"/>
    </row>
    <row r="12" spans="1:8" ht="24" customHeight="1" x14ac:dyDescent="0.35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</row>
    <row r="13" spans="1:8" ht="22.15" customHeight="1" x14ac:dyDescent="0.35">
      <c r="A13" s="3"/>
      <c r="B13" s="4"/>
      <c r="C13" s="5" t="str">
        <f t="shared" ref="C13:C23" si="0">IF(A13="","",B13*$B$2)</f>
        <v/>
      </c>
      <c r="D13" s="6" t="str">
        <f>IF(A13="","",VLOOKUP(A13,Base_Donnees!A:F,6,FALSE))</f>
        <v/>
      </c>
      <c r="E13" s="6" t="str">
        <f t="shared" ref="E13:E23" si="1">IF(A13="","",C13*D13)</f>
        <v/>
      </c>
      <c r="F13" s="7" t="str">
        <f>IF(A13="","",IF(VLOOKUP(A13,Base_Donnees!A:F,3,FALSE)&gt;4000,0,ROUNDUP((C13*1000/VLOOKUP(A13,Base_Donnees!A:F,3,FALSE))*1.5,0)))</f>
        <v/>
      </c>
      <c r="G13" s="4" t="str">
        <f>IF(A13="","",VLOOKUP(A13,Base_Donnees!A:F,4,FALSE))</f>
        <v/>
      </c>
      <c r="H13" s="3" t="str">
        <f>IF(A13="","",VLOOKUP(A13,Base_Donnees!A:F,5,FALSE))</f>
        <v/>
      </c>
    </row>
    <row r="14" spans="1:8" ht="22.15" customHeight="1" x14ac:dyDescent="0.35">
      <c r="A14" s="8"/>
      <c r="B14" s="9"/>
      <c r="C14" s="10" t="str">
        <f t="shared" si="0"/>
        <v/>
      </c>
      <c r="D14" s="11" t="str">
        <f>IF(A14="","",VLOOKUP(A14,Base_Donnees!A:F,6,FALSE))</f>
        <v/>
      </c>
      <c r="E14" s="11" t="str">
        <f t="shared" si="1"/>
        <v/>
      </c>
      <c r="F14" s="12" t="str">
        <f>IF(A14="","",IF(VLOOKUP(A14,Base_Donnees!A:F,3,FALSE)&gt;4000,0,ROUNDUP((C14*1000/VLOOKUP(A14,Base_Donnees!A:F,3,FALSE))*1.5,0)))</f>
        <v/>
      </c>
      <c r="G14" s="9" t="str">
        <f>IF(A14="","",VLOOKUP(A14,Base_Donnees!A:F,4,FALSE))</f>
        <v/>
      </c>
      <c r="H14" s="8" t="str">
        <f>IF(A14="","",VLOOKUP(A14,Base_Donnees!A:F,5,FALSE))</f>
        <v/>
      </c>
    </row>
    <row r="15" spans="1:8" ht="22.15" customHeight="1" x14ac:dyDescent="0.35">
      <c r="A15" s="3"/>
      <c r="B15" s="4"/>
      <c r="C15" s="5" t="str">
        <f t="shared" si="0"/>
        <v/>
      </c>
      <c r="D15" s="6" t="str">
        <f>IF(A15="","",VLOOKUP(A15,Base_Donnees!A:F,6,FALSE))</f>
        <v/>
      </c>
      <c r="E15" s="6" t="str">
        <f t="shared" si="1"/>
        <v/>
      </c>
      <c r="F15" s="7" t="str">
        <f>IF(A15="","",IF(VLOOKUP(A15,Base_Donnees!A:F,3,FALSE)&gt;4000,0,ROUNDUP((C15*1000/VLOOKUP(A15,Base_Donnees!A:F,3,FALSE))*1.5,0)))</f>
        <v/>
      </c>
      <c r="G15" s="4" t="str">
        <f>IF(A15="","",VLOOKUP(A15,Base_Donnees!A:F,4,FALSE))</f>
        <v/>
      </c>
      <c r="H15" s="3" t="str">
        <f>IF(A15="","",VLOOKUP(A15,Base_Donnees!A:F,5,FALSE))</f>
        <v/>
      </c>
    </row>
    <row r="16" spans="1:8" ht="22.15" customHeight="1" x14ac:dyDescent="0.35">
      <c r="A16" s="8"/>
      <c r="B16" s="9"/>
      <c r="C16" s="10" t="str">
        <f t="shared" si="0"/>
        <v/>
      </c>
      <c r="D16" s="11" t="str">
        <f>IF(A16="","",VLOOKUP(A16,Base_Donnees!A:F,6,FALSE))</f>
        <v/>
      </c>
      <c r="E16" s="11" t="str">
        <f t="shared" si="1"/>
        <v/>
      </c>
      <c r="F16" s="12" t="str">
        <f>IF(A16="","",IF(VLOOKUP(A16,Base_Donnees!A:F,3,FALSE)&gt;4000,0,ROUNDUP((C16*1000/VLOOKUP(A16,Base_Donnees!A:F,3,FALSE))*1.5,0)))</f>
        <v/>
      </c>
      <c r="G16" s="9" t="str">
        <f>IF(A16="","",VLOOKUP(A16,Base_Donnees!A:F,4,FALSE))</f>
        <v/>
      </c>
      <c r="H16" s="8" t="str">
        <f>IF(A16="","",VLOOKUP(A16,Base_Donnees!A:F,5,FALSE))</f>
        <v/>
      </c>
    </row>
    <row r="17" spans="1:8" ht="22.15" customHeight="1" x14ac:dyDescent="0.35">
      <c r="A17" s="3"/>
      <c r="B17" s="4"/>
      <c r="C17" s="5" t="str">
        <f t="shared" si="0"/>
        <v/>
      </c>
      <c r="D17" s="6" t="str">
        <f>IF(A17="","",VLOOKUP(A17,Base_Donnees!A:F,6,FALSE))</f>
        <v/>
      </c>
      <c r="E17" s="6" t="str">
        <f t="shared" si="1"/>
        <v/>
      </c>
      <c r="F17" s="7" t="str">
        <f>IF(A17="","",IF(VLOOKUP(A17,Base_Donnees!A:F,3,FALSE)&gt;4000,0,ROUNDUP((C17*1000/VLOOKUP(A17,Base_Donnees!A:F,3,FALSE))*1.5,0)))</f>
        <v/>
      </c>
      <c r="G17" s="4" t="str">
        <f>IF(A17="","",VLOOKUP(A17,Base_Donnees!A:F,4,FALSE))</f>
        <v/>
      </c>
      <c r="H17" s="3" t="str">
        <f>IF(A17="","",VLOOKUP(A17,Base_Donnees!A:F,5,FALSE))</f>
        <v/>
      </c>
    </row>
    <row r="18" spans="1:8" ht="22.15" customHeight="1" x14ac:dyDescent="0.35">
      <c r="A18" s="8"/>
      <c r="B18" s="9"/>
      <c r="C18" s="10" t="str">
        <f t="shared" si="0"/>
        <v/>
      </c>
      <c r="D18" s="11" t="str">
        <f>IF(A18="","",VLOOKUP(A18,Base_Donnees!A:F,6,FALSE))</f>
        <v/>
      </c>
      <c r="E18" s="11" t="str">
        <f t="shared" si="1"/>
        <v/>
      </c>
      <c r="F18" s="12" t="str">
        <f>IF(A18="","",IF(VLOOKUP(A18,Base_Donnees!A:F,3,FALSE)&gt;4000,0,ROUNDUP((C18*1000/VLOOKUP(A18,Base_Donnees!A:F,3,FALSE))*1.5,0)))</f>
        <v/>
      </c>
      <c r="G18" s="9" t="str">
        <f>IF(A18="","",VLOOKUP(A18,Base_Donnees!A:F,4,FALSE))</f>
        <v/>
      </c>
      <c r="H18" s="8" t="str">
        <f>IF(A18="","",VLOOKUP(A18,Base_Donnees!A:F,5,FALSE))</f>
        <v/>
      </c>
    </row>
    <row r="19" spans="1:8" ht="22.15" customHeight="1" x14ac:dyDescent="0.35">
      <c r="A19" s="3"/>
      <c r="B19" s="4"/>
      <c r="C19" s="5" t="str">
        <f t="shared" si="0"/>
        <v/>
      </c>
      <c r="D19" s="6" t="str">
        <f>IF(A19="","",VLOOKUP(A19,Base_Donnees!A:F,6,FALSE))</f>
        <v/>
      </c>
      <c r="E19" s="6" t="str">
        <f t="shared" si="1"/>
        <v/>
      </c>
      <c r="F19" s="7" t="str">
        <f>IF(A19="","",IF(VLOOKUP(A19,Base_Donnees!A:F,3,FALSE)&gt;4000,0,ROUNDUP((C19*1000/VLOOKUP(A19,Base_Donnees!A:F,3,FALSE))*1.5,0)))</f>
        <v/>
      </c>
      <c r="G19" s="4" t="str">
        <f>IF(A19="","",VLOOKUP(A19,Base_Donnees!A:F,4,FALSE))</f>
        <v/>
      </c>
      <c r="H19" s="3" t="str">
        <f>IF(A19="","",VLOOKUP(A19,Base_Donnees!A:F,5,FALSE))</f>
        <v/>
      </c>
    </row>
    <row r="20" spans="1:8" ht="22.15" customHeight="1" x14ac:dyDescent="0.35">
      <c r="A20" s="8"/>
      <c r="B20" s="9"/>
      <c r="C20" s="10" t="str">
        <f t="shared" si="0"/>
        <v/>
      </c>
      <c r="D20" s="11" t="str">
        <f>IF(A20="","",VLOOKUP(A20,Base_Donnees!A:F,6,FALSE))</f>
        <v/>
      </c>
      <c r="E20" s="11" t="str">
        <f t="shared" si="1"/>
        <v/>
      </c>
      <c r="F20" s="12" t="str">
        <f>IF(A20="","",IF(VLOOKUP(A20,Base_Donnees!A:F,3,FALSE)&gt;4000,0,ROUNDUP((C20*1000/VLOOKUP(A20,Base_Donnees!A:F,3,FALSE))*1.5,0)))</f>
        <v/>
      </c>
      <c r="G20" s="9" t="str">
        <f>IF(A20="","",VLOOKUP(A20,Base_Donnees!A:F,4,FALSE))</f>
        <v/>
      </c>
      <c r="H20" s="8" t="str">
        <f>IF(A20="","",VLOOKUP(A20,Base_Donnees!A:F,5,FALSE))</f>
        <v/>
      </c>
    </row>
    <row r="21" spans="1:8" ht="22.15" customHeight="1" x14ac:dyDescent="0.35">
      <c r="A21" s="3"/>
      <c r="B21" s="4"/>
      <c r="C21" s="5" t="str">
        <f t="shared" si="0"/>
        <v/>
      </c>
      <c r="D21" s="6" t="str">
        <f>IF(A21="","",VLOOKUP(A21,Base_Donnees!A:F,6,FALSE))</f>
        <v/>
      </c>
      <c r="E21" s="6" t="str">
        <f t="shared" si="1"/>
        <v/>
      </c>
      <c r="F21" s="7" t="str">
        <f>IF(A21="","",IF(VLOOKUP(A21,Base_Donnees!A:F,3,FALSE)&gt;4000,0,ROUNDUP((C21*1000/VLOOKUP(A21,Base_Donnees!A:F,3,FALSE))*1.5,0)))</f>
        <v/>
      </c>
      <c r="G21" s="4" t="str">
        <f>IF(A21="","",VLOOKUP(A21,Base_Donnees!A:F,4,FALSE))</f>
        <v/>
      </c>
      <c r="H21" s="3" t="str">
        <f>IF(A21="","",VLOOKUP(A21,Base_Donnees!A:F,5,FALSE))</f>
        <v/>
      </c>
    </row>
    <row r="22" spans="1:8" ht="22.15" customHeight="1" x14ac:dyDescent="0.35">
      <c r="A22" s="8"/>
      <c r="B22" s="9"/>
      <c r="C22" s="10" t="str">
        <f t="shared" si="0"/>
        <v/>
      </c>
      <c r="D22" s="11" t="str">
        <f>IF(A22="","",VLOOKUP(A22,Base_Donnees!A:F,6,FALSE))</f>
        <v/>
      </c>
      <c r="E22" s="11" t="str">
        <f t="shared" si="1"/>
        <v/>
      </c>
      <c r="F22" s="12" t="str">
        <f>IF(A22="","",IF(VLOOKUP(A22,Base_Donnees!A:F,3,FALSE)&gt;4000,0,ROUNDUP((C22*1000/VLOOKUP(A22,Base_Donnees!A:F,3,FALSE))*1.5,0)))</f>
        <v/>
      </c>
      <c r="G22" s="9" t="str">
        <f>IF(A22="","",VLOOKUP(A22,Base_Donnees!A:F,4,FALSE))</f>
        <v/>
      </c>
      <c r="H22" s="8" t="str">
        <f>IF(A22="","",VLOOKUP(A22,Base_Donnees!A:F,5,FALSE))</f>
        <v/>
      </c>
    </row>
    <row r="23" spans="1:8" ht="22.15" customHeight="1" x14ac:dyDescent="0.35">
      <c r="A23" s="3"/>
      <c r="B23" s="4"/>
      <c r="C23" s="5" t="str">
        <f t="shared" si="0"/>
        <v/>
      </c>
      <c r="D23" s="6" t="str">
        <f>IF(A23="","",VLOOKUP(A23,Base_Donnees!A:F,6,FALSE))</f>
        <v/>
      </c>
      <c r="E23" s="6" t="str">
        <f t="shared" si="1"/>
        <v/>
      </c>
      <c r="F23" s="7" t="str">
        <f>IF(A23="","",IF(VLOOKUP(A23,Base_Donnees!A:F,3,FALSE)&gt;4000,0,ROUNDUP((C23*1000/VLOOKUP(A23,Base_Donnees!A:F,3,FALSE))*1.5,0)))</f>
        <v/>
      </c>
      <c r="G23" s="4" t="str">
        <f>IF(A23="","",VLOOKUP(A23,Base_Donnees!A:F,4,FALSE))</f>
        <v/>
      </c>
      <c r="H23" s="3" t="str">
        <f>IF(A23="","",VLOOKUP(A23,Base_Donnees!A:F,5,FALSE))</f>
        <v/>
      </c>
    </row>
    <row r="25" spans="1:8" ht="16.5" x14ac:dyDescent="0.35">
      <c r="A25" s="32" t="s">
        <v>13</v>
      </c>
      <c r="B25" s="25"/>
      <c r="C25" s="25"/>
      <c r="D25" s="25"/>
      <c r="E25" s="25"/>
      <c r="F25" s="25"/>
      <c r="G25" s="25"/>
      <c r="H25" s="25"/>
    </row>
    <row r="26" spans="1:8" ht="24" customHeight="1" x14ac:dyDescent="0.35">
      <c r="A26" s="2" t="s">
        <v>4</v>
      </c>
      <c r="B26" s="2" t="s">
        <v>5</v>
      </c>
      <c r="C26" s="2" t="s">
        <v>6</v>
      </c>
      <c r="D26" s="2" t="s">
        <v>7</v>
      </c>
      <c r="E26" s="2" t="s">
        <v>8</v>
      </c>
      <c r="F26" s="2" t="s">
        <v>9</v>
      </c>
      <c r="G26" s="2" t="s">
        <v>10</v>
      </c>
      <c r="H26" s="2" t="s">
        <v>11</v>
      </c>
    </row>
    <row r="27" spans="1:8" ht="22.15" customHeight="1" x14ac:dyDescent="0.35">
      <c r="A27" s="3"/>
      <c r="B27" s="4"/>
      <c r="C27" s="5" t="str">
        <f>IF(A27="","",B27*$B$2)</f>
        <v/>
      </c>
      <c r="D27" s="6" t="str">
        <f>IF(A27="","",VLOOKUP(A27,Base_Donnees!A:F,6,FALSE))</f>
        <v/>
      </c>
      <c r="E27" s="6" t="str">
        <f>IF(A27="","",C27*D27)</f>
        <v/>
      </c>
      <c r="F27" s="7" t="str">
        <f>IF(A27="","",IF(VLOOKUP(A27,Base_Donnees!A:F,3,FALSE)&gt;4000,0,ROUNDUP((C27*1000/VLOOKUP(A27,Base_Donnees!A:F,3,FALSE))*1.5,0)))</f>
        <v/>
      </c>
      <c r="G27" s="4" t="str">
        <f>IF(A27="","",VLOOKUP(A27,Base_Donnees!A:F,4,FALSE))</f>
        <v/>
      </c>
      <c r="H27" s="3" t="str">
        <f>IF(A27="","",VLOOKUP(A27,Base_Donnees!A:F,5,FALSE))</f>
        <v/>
      </c>
    </row>
    <row r="28" spans="1:8" ht="22.15" customHeight="1" x14ac:dyDescent="0.35">
      <c r="A28" s="8"/>
      <c r="B28" s="9"/>
      <c r="C28" s="10" t="str">
        <f>IF(A28="","",B28*$B$2)</f>
        <v/>
      </c>
      <c r="D28" s="11" t="str">
        <f>IF(A28="","",VLOOKUP(A28,Base_Donnees!A:F,6,FALSE))</f>
        <v/>
      </c>
      <c r="E28" s="11" t="str">
        <f>IF(A28="","",C28*D28)</f>
        <v/>
      </c>
      <c r="F28" s="12" t="str">
        <f>IF(A28="","",IF(VLOOKUP(A28,Base_Donnees!A:F,3,FALSE)&gt;4000,0,ROUNDUP((C28*1000/VLOOKUP(A28,Base_Donnees!A:F,3,FALSE))*1.5,0)))</f>
        <v/>
      </c>
      <c r="G28" s="9" t="str">
        <f>IF(A28="","",VLOOKUP(A28,Base_Donnees!A:F,4,FALSE))</f>
        <v/>
      </c>
      <c r="H28" s="8" t="str">
        <f>IF(A28="","",VLOOKUP(A28,Base_Donnees!A:F,5,FALSE))</f>
        <v/>
      </c>
    </row>
    <row r="29" spans="1:8" ht="22.15" customHeight="1" x14ac:dyDescent="0.35">
      <c r="A29" s="3"/>
      <c r="B29" s="4"/>
      <c r="C29" s="5" t="str">
        <f>IF(A29="","",B29*$B$2)</f>
        <v/>
      </c>
      <c r="D29" s="6" t="str">
        <f>IF(A29="","",VLOOKUP(A29,Base_Donnees!A:F,6,FALSE))</f>
        <v/>
      </c>
      <c r="E29" s="6" t="str">
        <f>IF(A29="","",C29*D29)</f>
        <v/>
      </c>
      <c r="F29" s="7" t="str">
        <f>IF(A29="","",IF(VLOOKUP(A29,Base_Donnees!A:F,3,FALSE)&gt;4000,0,ROUNDUP((C29*1000/VLOOKUP(A29,Base_Donnees!A:F,3,FALSE))*1.5,0)))</f>
        <v/>
      </c>
      <c r="G29" s="4" t="str">
        <f>IF(A29="","",VLOOKUP(A29,Base_Donnees!A:F,4,FALSE))</f>
        <v/>
      </c>
      <c r="H29" s="3" t="str">
        <f>IF(A29="","",VLOOKUP(A29,Base_Donnees!A:F,5,FALSE))</f>
        <v/>
      </c>
    </row>
    <row r="31" spans="1:8" ht="16.5" x14ac:dyDescent="0.35">
      <c r="A31" s="33" t="s">
        <v>14</v>
      </c>
      <c r="B31" s="25"/>
      <c r="C31" s="25"/>
      <c r="D31" s="25"/>
      <c r="E31" s="25"/>
      <c r="F31" s="25"/>
      <c r="G31" s="25"/>
      <c r="H31" s="25"/>
    </row>
    <row r="32" spans="1:8" ht="24" customHeight="1" x14ac:dyDescent="0.35">
      <c r="A32" s="2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</row>
    <row r="33" spans="1:8" ht="22.15" customHeight="1" x14ac:dyDescent="0.35">
      <c r="A33" s="3"/>
      <c r="B33" s="4"/>
      <c r="C33" s="5" t="str">
        <f>IF(A33="","",B33*$B$2)</f>
        <v/>
      </c>
      <c r="D33" s="6" t="str">
        <f>IF(A33="","",VLOOKUP(A33,Base_Donnees!A:F,6,FALSE))</f>
        <v/>
      </c>
      <c r="E33" s="6" t="str">
        <f>IF(A33="","",C33*D33)</f>
        <v/>
      </c>
      <c r="F33" s="7" t="str">
        <f>IF(A33="","",IF(VLOOKUP(A33,Base_Donnees!A:F,3,FALSE)&gt;4000,0,ROUNDUP((C33*1000/VLOOKUP(A33,Base_Donnees!A:F,3,FALSE))*1.5,0)))</f>
        <v/>
      </c>
      <c r="G33" s="4" t="str">
        <f>IF(A33="","",VLOOKUP(A33,Base_Donnees!A:F,4,FALSE))</f>
        <v/>
      </c>
      <c r="H33" s="3" t="str">
        <f>IF(A33="","",VLOOKUP(A33,Base_Donnees!A:F,5,FALSE))</f>
        <v/>
      </c>
    </row>
    <row r="34" spans="1:8" ht="22.15" customHeight="1" x14ac:dyDescent="0.35">
      <c r="A34" s="8"/>
      <c r="B34" s="9"/>
      <c r="C34" s="10" t="str">
        <f>IF(A34="","",B34*$B$2)</f>
        <v/>
      </c>
      <c r="D34" s="11" t="str">
        <f>IF(A34="","",VLOOKUP(A34,Base_Donnees!A:F,6,FALSE))</f>
        <v/>
      </c>
      <c r="E34" s="11" t="str">
        <f>IF(A34="","",C34*D34)</f>
        <v/>
      </c>
      <c r="F34" s="12" t="str">
        <f>IF(A34="","",IF(VLOOKUP(A34,Base_Donnees!A:F,3,FALSE)&gt;4000,0,ROUNDUP((C34*1000/VLOOKUP(A34,Base_Donnees!A:F,3,FALSE))*1.5,0)))</f>
        <v/>
      </c>
      <c r="G34" s="9" t="str">
        <f>IF(A34="","",VLOOKUP(A34,Base_Donnees!A:F,4,FALSE))</f>
        <v/>
      </c>
      <c r="H34" s="8" t="str">
        <f>IF(A34="","",VLOOKUP(A34,Base_Donnees!A:F,5,FALSE))</f>
        <v/>
      </c>
    </row>
    <row r="35" spans="1:8" ht="22.15" customHeight="1" x14ac:dyDescent="0.35">
      <c r="A35" s="3"/>
      <c r="B35" s="4"/>
      <c r="C35" s="5" t="str">
        <f>IF(A35="","",B35*$B$2)</f>
        <v/>
      </c>
      <c r="D35" s="6" t="str">
        <f>IF(A35="","",VLOOKUP(A35,Base_Donnees!A:F,6,FALSE))</f>
        <v/>
      </c>
      <c r="E35" s="6" t="str">
        <f>IF(A35="","",C35*D35)</f>
        <v/>
      </c>
      <c r="F35" s="7" t="str">
        <f>IF(A35="","",IF(VLOOKUP(A35,Base_Donnees!A:F,3,FALSE)&gt;4000,0,ROUNDUP((C35*1000/VLOOKUP(A35,Base_Donnees!A:F,3,FALSE))*1.5,0)))</f>
        <v/>
      </c>
      <c r="G35" s="4" t="str">
        <f>IF(A35="","",VLOOKUP(A35,Base_Donnees!A:F,4,FALSE))</f>
        <v/>
      </c>
      <c r="H35" s="3" t="str">
        <f>IF(A35="","",VLOOKUP(A35,Base_Donnees!A:F,5,FALSE))</f>
        <v/>
      </c>
    </row>
    <row r="38" spans="1:8" ht="16" x14ac:dyDescent="0.35">
      <c r="A38" s="24" t="s">
        <v>15</v>
      </c>
      <c r="B38" s="25"/>
      <c r="C38" s="25"/>
      <c r="D38" s="25"/>
      <c r="E38" s="25"/>
      <c r="F38" s="25"/>
    </row>
    <row r="39" spans="1:8" ht="30" customHeight="1" x14ac:dyDescent="0.35">
      <c r="A39" s="13" t="s">
        <v>16</v>
      </c>
      <c r="B39" s="13" t="s">
        <v>17</v>
      </c>
      <c r="C39" s="13" t="s">
        <v>18</v>
      </c>
      <c r="D39" s="13" t="s">
        <v>19</v>
      </c>
      <c r="E39" s="13" t="s">
        <v>20</v>
      </c>
      <c r="F39" s="13" t="s">
        <v>21</v>
      </c>
    </row>
    <row r="40" spans="1:8" ht="22.15" customHeight="1" x14ac:dyDescent="0.35">
      <c r="A40" s="4" t="s">
        <v>22</v>
      </c>
      <c r="B40" s="7">
        <f>SUM(F7:F9)</f>
        <v>0</v>
      </c>
      <c r="C40" s="7">
        <f>B40+SUM(C7:C9)*0.6</f>
        <v>0</v>
      </c>
      <c r="D40" s="4" t="str">
        <f>IF(C40&gt;1000,"TROP PLEIN !","OK")</f>
        <v>OK</v>
      </c>
      <c r="E40" s="4">
        <f>IF(B40=0,0,MAX(G7:G9))</f>
        <v>0</v>
      </c>
      <c r="F40" s="6">
        <f>SUM(E7:E9)</f>
        <v>0</v>
      </c>
    </row>
    <row r="41" spans="1:8" ht="22.15" customHeight="1" x14ac:dyDescent="0.35">
      <c r="A41" s="4" t="s">
        <v>23</v>
      </c>
      <c r="B41" s="7">
        <f>SUM(F13:F23)</f>
        <v>0</v>
      </c>
      <c r="C41" s="7">
        <f>B41+SUM(C13:C23)*0.6</f>
        <v>0</v>
      </c>
      <c r="D41" s="4" t="str">
        <f>IF(C41&gt;1000,"TROP PLEIN !","OK")</f>
        <v>OK</v>
      </c>
      <c r="E41" s="4">
        <f>IF(B41=0,0,MAX(G13:G23))</f>
        <v>0</v>
      </c>
      <c r="F41" s="6">
        <f>SUM(E13:E23)</f>
        <v>0</v>
      </c>
    </row>
    <row r="42" spans="1:8" ht="22.15" customHeight="1" x14ac:dyDescent="0.35">
      <c r="A42" s="4" t="s">
        <v>24</v>
      </c>
      <c r="B42" s="7">
        <f>SUM(F27:F29)</f>
        <v>0</v>
      </c>
      <c r="C42" s="7">
        <f>B42+SUM(C27:C29)*0.6</f>
        <v>0</v>
      </c>
      <c r="D42" s="4" t="str">
        <f>IF(C42&gt;1000,"TROP PLEIN !","OK")</f>
        <v>OK</v>
      </c>
      <c r="E42" s="4">
        <f>IF(B42=0,0,MAX(G27:G29))</f>
        <v>0</v>
      </c>
      <c r="F42" s="6">
        <f>SUM(E27:E29)</f>
        <v>0</v>
      </c>
    </row>
    <row r="43" spans="1:8" ht="22.15" customHeight="1" x14ac:dyDescent="0.35">
      <c r="A43" s="4" t="s">
        <v>25</v>
      </c>
      <c r="B43" s="7">
        <f>SUM(F33:F35)</f>
        <v>0</v>
      </c>
      <c r="C43" s="7">
        <f>B43+SUM(C33:C35)*0.6</f>
        <v>0</v>
      </c>
      <c r="D43" s="4" t="str">
        <f>IF(C43&gt;1000,"TROP PLEIN !","OK")</f>
        <v>OK</v>
      </c>
      <c r="E43" s="4">
        <f>IF(B43=0,0,MAX(G33:G35))</f>
        <v>0</v>
      </c>
      <c r="F43" s="6">
        <f>SUM(E33:E35)</f>
        <v>0</v>
      </c>
    </row>
    <row r="44" spans="1:8" x14ac:dyDescent="0.35">
      <c r="F44" s="26">
        <f>SUM(F40:F43)</f>
        <v>0</v>
      </c>
      <c r="G44" s="25"/>
      <c r="H44" s="25"/>
    </row>
    <row r="45" spans="1:8" x14ac:dyDescent="0.35">
      <c r="F45" s="25"/>
      <c r="G45" s="25"/>
      <c r="H45" s="25"/>
    </row>
  </sheetData>
  <mergeCells count="8">
    <mergeCell ref="A38:F38"/>
    <mergeCell ref="F44:H45"/>
    <mergeCell ref="A1:E1"/>
    <mergeCell ref="F1:H1"/>
    <mergeCell ref="A5:H5"/>
    <mergeCell ref="A11:H11"/>
    <mergeCell ref="A25:H25"/>
    <mergeCell ref="A31:H3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20360C89-A3AA-44EA-A863-50C4C5B0CCAA}">
          <x14:formula1>
            <xm:f>Base_Donnees!$A$18:$A$19</xm:f>
          </x14:formula1>
          <xm:sqref>A33:A35</xm:sqref>
        </x14:dataValidation>
        <x14:dataValidation type="list" allowBlank="1" xr:uid="{32D04A40-7AAB-4FA6-9604-397B419E0BE4}">
          <x14:formula1>
            <xm:f>Base_Donnees!$A$15:$A$17</xm:f>
          </x14:formula1>
          <xm:sqref>A27:A29</xm:sqref>
        </x14:dataValidation>
        <x14:dataValidation type="list" allowBlank="1" xr:uid="{555F9211-58FA-4280-A521-C7BBC8011178}">
          <x14:formula1>
            <xm:f>Base_Donnees!$A$4:$A$14</xm:f>
          </x14:formula1>
          <xm:sqref>A13:A23</xm:sqref>
        </x14:dataValidation>
        <x14:dataValidation type="list" allowBlank="1" xr:uid="{1B37911F-AB14-4054-B75B-52ED202E1F8B}">
          <x14:formula1>
            <xm:f>Base_Donnees!$A$2:$A$3</xm:f>
          </x14:formula1>
          <xm:sqref>A7:A9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E24" sqref="E24"/>
    </sheetView>
  </sheetViews>
  <sheetFormatPr baseColWidth="10" defaultColWidth="8.90625" defaultRowHeight="14.5" x14ac:dyDescent="0.35"/>
  <cols>
    <col min="1" max="1" width="39.81640625" customWidth="1"/>
    <col min="5" max="5" width="52.1796875" customWidth="1"/>
    <col min="6" max="6" width="11.54296875" customWidth="1"/>
  </cols>
  <sheetData>
    <row r="1" spans="1:6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7</v>
      </c>
    </row>
    <row r="2" spans="1:6" x14ac:dyDescent="0.35">
      <c r="A2" t="s">
        <v>31</v>
      </c>
      <c r="B2" t="s">
        <v>32</v>
      </c>
      <c r="C2">
        <v>120</v>
      </c>
      <c r="D2">
        <v>6</v>
      </c>
      <c r="E2" t="s">
        <v>33</v>
      </c>
      <c r="F2" s="14">
        <v>134.44999999999999</v>
      </c>
    </row>
    <row r="3" spans="1:6" x14ac:dyDescent="0.35">
      <c r="A3" t="s">
        <v>34</v>
      </c>
      <c r="B3" t="s">
        <v>35</v>
      </c>
      <c r="C3">
        <v>5000</v>
      </c>
      <c r="D3">
        <v>1</v>
      </c>
      <c r="E3" t="s">
        <v>36</v>
      </c>
      <c r="F3" s="14">
        <v>378.15</v>
      </c>
    </row>
    <row r="4" spans="1:6" x14ac:dyDescent="0.35">
      <c r="A4" t="s">
        <v>37</v>
      </c>
      <c r="B4" t="s">
        <v>38</v>
      </c>
      <c r="C4">
        <v>105</v>
      </c>
      <c r="D4">
        <v>5</v>
      </c>
      <c r="E4" t="s">
        <v>39</v>
      </c>
      <c r="F4" s="14">
        <v>378.15</v>
      </c>
    </row>
    <row r="5" spans="1:6" x14ac:dyDescent="0.35">
      <c r="A5" t="s">
        <v>40</v>
      </c>
      <c r="B5" t="s">
        <v>41</v>
      </c>
      <c r="C5">
        <v>30</v>
      </c>
      <c r="D5">
        <v>15</v>
      </c>
      <c r="E5" t="s">
        <v>42</v>
      </c>
      <c r="F5" s="14">
        <v>218.49</v>
      </c>
    </row>
    <row r="6" spans="1:6" x14ac:dyDescent="0.35">
      <c r="A6" t="s">
        <v>43</v>
      </c>
      <c r="B6" t="s">
        <v>44</v>
      </c>
      <c r="C6">
        <v>10</v>
      </c>
      <c r="D6">
        <v>20</v>
      </c>
      <c r="E6" t="s">
        <v>45</v>
      </c>
      <c r="F6" s="14">
        <v>168.07</v>
      </c>
    </row>
    <row r="7" spans="1:6" x14ac:dyDescent="0.35">
      <c r="A7" t="s">
        <v>46</v>
      </c>
      <c r="B7" t="s">
        <v>47</v>
      </c>
      <c r="C7">
        <v>70</v>
      </c>
      <c r="D7">
        <v>8</v>
      </c>
      <c r="E7" t="s">
        <v>48</v>
      </c>
      <c r="F7" s="14">
        <v>218.49</v>
      </c>
    </row>
    <row r="8" spans="1:6" x14ac:dyDescent="0.35">
      <c r="A8" t="s">
        <v>49</v>
      </c>
      <c r="B8" t="s">
        <v>50</v>
      </c>
      <c r="C8">
        <v>25</v>
      </c>
      <c r="D8">
        <v>12</v>
      </c>
      <c r="E8" t="s">
        <v>51</v>
      </c>
      <c r="F8" s="14">
        <v>201.7</v>
      </c>
    </row>
    <row r="9" spans="1:6" x14ac:dyDescent="0.35">
      <c r="A9" t="s">
        <v>52</v>
      </c>
      <c r="B9" t="s">
        <v>53</v>
      </c>
      <c r="C9">
        <v>35</v>
      </c>
      <c r="D9">
        <v>15</v>
      </c>
      <c r="E9" t="s">
        <v>54</v>
      </c>
      <c r="F9" s="14">
        <v>461.74</v>
      </c>
    </row>
    <row r="10" spans="1:6" x14ac:dyDescent="0.35">
      <c r="A10" t="s">
        <v>55</v>
      </c>
      <c r="B10" t="s">
        <v>56</v>
      </c>
      <c r="C10">
        <v>20</v>
      </c>
      <c r="D10">
        <v>18</v>
      </c>
      <c r="E10" t="s">
        <v>57</v>
      </c>
      <c r="F10" s="14">
        <v>230</v>
      </c>
    </row>
    <row r="11" spans="1:6" x14ac:dyDescent="0.35">
      <c r="A11" t="s">
        <v>58</v>
      </c>
      <c r="B11" t="s">
        <v>59</v>
      </c>
      <c r="C11">
        <v>55</v>
      </c>
      <c r="D11">
        <v>15</v>
      </c>
      <c r="E11" t="s">
        <v>60</v>
      </c>
      <c r="F11" s="14">
        <v>550</v>
      </c>
    </row>
    <row r="12" spans="1:6" x14ac:dyDescent="0.35">
      <c r="A12" t="s">
        <v>61</v>
      </c>
      <c r="B12" t="s">
        <v>62</v>
      </c>
      <c r="C12">
        <v>70</v>
      </c>
      <c r="D12">
        <v>12</v>
      </c>
      <c r="E12" t="s">
        <v>63</v>
      </c>
      <c r="F12" s="14">
        <v>75</v>
      </c>
    </row>
    <row r="13" spans="1:6" x14ac:dyDescent="0.35">
      <c r="A13" t="s">
        <v>64</v>
      </c>
      <c r="B13" t="s">
        <v>38</v>
      </c>
      <c r="C13">
        <v>180</v>
      </c>
      <c r="D13">
        <v>3</v>
      </c>
      <c r="E13" t="s">
        <v>65</v>
      </c>
      <c r="F13" s="14">
        <v>190</v>
      </c>
    </row>
    <row r="14" spans="1:6" x14ac:dyDescent="0.35">
      <c r="A14" t="s">
        <v>66</v>
      </c>
      <c r="B14" t="s">
        <v>67</v>
      </c>
      <c r="C14">
        <v>5000</v>
      </c>
      <c r="D14">
        <v>1</v>
      </c>
      <c r="E14" t="s">
        <v>68</v>
      </c>
      <c r="F14" s="14">
        <v>461.74</v>
      </c>
    </row>
    <row r="15" spans="1:6" x14ac:dyDescent="0.35">
      <c r="A15" t="s">
        <v>69</v>
      </c>
      <c r="B15" t="s">
        <v>70</v>
      </c>
      <c r="C15">
        <v>590</v>
      </c>
      <c r="D15">
        <v>4</v>
      </c>
      <c r="E15" t="s">
        <v>71</v>
      </c>
      <c r="F15" s="14">
        <v>378.15</v>
      </c>
    </row>
    <row r="16" spans="1:6" x14ac:dyDescent="0.35">
      <c r="A16" t="s">
        <v>72</v>
      </c>
      <c r="B16" t="s">
        <v>73</v>
      </c>
      <c r="C16">
        <v>330</v>
      </c>
      <c r="D16">
        <v>7</v>
      </c>
      <c r="E16" t="s">
        <v>74</v>
      </c>
      <c r="F16" s="14">
        <v>3000</v>
      </c>
    </row>
    <row r="17" spans="1:6" x14ac:dyDescent="0.35">
      <c r="A17" t="s">
        <v>75</v>
      </c>
      <c r="B17" t="s">
        <v>76</v>
      </c>
      <c r="C17">
        <v>150</v>
      </c>
      <c r="D17">
        <v>10</v>
      </c>
      <c r="E17" t="s">
        <v>77</v>
      </c>
      <c r="F17" s="14">
        <v>3450</v>
      </c>
    </row>
    <row r="18" spans="1:6" x14ac:dyDescent="0.35">
      <c r="A18" t="s">
        <v>78</v>
      </c>
      <c r="B18" t="s">
        <v>79</v>
      </c>
      <c r="C18">
        <v>150</v>
      </c>
      <c r="D18">
        <v>25</v>
      </c>
      <c r="E18" t="s">
        <v>80</v>
      </c>
      <c r="F18" s="14">
        <v>2500</v>
      </c>
    </row>
    <row r="19" spans="1:6" x14ac:dyDescent="0.35">
      <c r="A19" t="s">
        <v>81</v>
      </c>
      <c r="B19" t="s">
        <v>82</v>
      </c>
      <c r="C19">
        <v>120</v>
      </c>
      <c r="D19">
        <v>10</v>
      </c>
      <c r="E19" t="s">
        <v>83</v>
      </c>
      <c r="F19" s="14">
        <v>3450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09 Mars N</vt:lpstr>
      <vt:lpstr>09 Mars P</vt:lpstr>
      <vt:lpstr>17 Mars O</vt:lpstr>
      <vt:lpstr>Modèle_A_Dupliquer</vt:lpstr>
      <vt:lpstr>Modèle_A_Dupliquer (2)</vt:lpstr>
      <vt:lpstr>Modèle_A_Dupliquer (3)</vt:lpstr>
      <vt:lpstr>Modèle_A_Dupliquer (1)</vt:lpstr>
      <vt:lpstr>Base_Donnees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abderrahmane Allal</cp:lastModifiedBy>
  <dcterms:created xsi:type="dcterms:W3CDTF">2026-05-17T09:38:18Z</dcterms:created>
  <dcterms:modified xsi:type="dcterms:W3CDTF">2026-05-22T19:46:55Z</dcterms:modified>
</cp:coreProperties>
</file>